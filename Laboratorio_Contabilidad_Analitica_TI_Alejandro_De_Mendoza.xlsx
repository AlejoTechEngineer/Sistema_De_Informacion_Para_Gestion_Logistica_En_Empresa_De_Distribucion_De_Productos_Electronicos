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P1 3-3\Documents\Estudio\Carrera Ingeniería Informatica\Septimo Semestre\Integración de Sistemas\Laboratorio No. 1\"/>
    </mc:Choice>
  </mc:AlternateContent>
  <xr:revisionPtr revIDLastSave="0" documentId="13_ncr:1_{C92E3E4B-FD0E-40FA-A79D-D06003DF8089}" xr6:coauthVersionLast="47" xr6:coauthVersionMax="47" xr10:uidLastSave="{00000000-0000-0000-0000-000000000000}"/>
  <bookViews>
    <workbookView xWindow="-120" yWindow="-120" windowWidth="38640" windowHeight="21120" tabRatio="723" activeTab="7" xr2:uid="{00000000-000D-0000-FFFF-FFFF00000000}"/>
  </bookViews>
  <sheets>
    <sheet name="PORTADA" sheetId="1" r:id="rId1"/>
    <sheet name="SUPUESTOS" sheetId="2" r:id="rId2"/>
    <sheet name="REC_HUMANO" sheetId="3" r:id="rId3"/>
    <sheet name="ACTIVIDADES" sheetId="4" r:id="rId4"/>
    <sheet name="REC_TECNICO" sheetId="5" r:id="rId5"/>
    <sheet name="IMPUESTOS" sheetId="6" r:id="rId6"/>
    <sheet name="COSTOS_OPERATIVOS" sheetId="7" r:id="rId7"/>
    <sheet name="IMPREVISTOS" sheetId="8" r:id="rId8"/>
    <sheet name="RESUMEN_COSTOS" sheetId="9" r:id="rId9"/>
    <sheet name="RENTABILIDAD" sheetId="10" r:id="rId10"/>
    <sheet name="CLASIFICACION" sheetId="11" r:id="rId11"/>
    <sheet name="GANTT" sheetId="12" r:id="rId12"/>
    <sheet name="RESUMEN_EJECUTIVO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8" l="1"/>
  <c r="C13" i="8"/>
  <c r="C18" i="10"/>
  <c r="C16" i="10"/>
  <c r="C15" i="10"/>
  <c r="C14" i="10"/>
  <c r="C8" i="13"/>
  <c r="C9" i="13"/>
  <c r="C14" i="8"/>
  <c r="E19" i="7"/>
  <c r="C10" i="9" s="1"/>
  <c r="E9" i="7"/>
  <c r="C9" i="9" s="1"/>
  <c r="E8" i="7"/>
  <c r="E7" i="7"/>
  <c r="E6" i="7"/>
  <c r="E5" i="7"/>
  <c r="E23" i="5"/>
  <c r="E22" i="5"/>
  <c r="E21" i="5"/>
  <c r="E20" i="5"/>
  <c r="E19" i="5"/>
  <c r="E18" i="5"/>
  <c r="E24" i="5" s="1"/>
  <c r="E17" i="5"/>
  <c r="E16" i="5"/>
  <c r="E15" i="5"/>
  <c r="E14" i="5"/>
  <c r="E9" i="5"/>
  <c r="E8" i="5"/>
  <c r="E7" i="5"/>
  <c r="E6" i="5"/>
  <c r="E5" i="5"/>
  <c r="E10" i="5" s="1"/>
  <c r="J22" i="4"/>
  <c r="G22" i="4"/>
  <c r="J21" i="4"/>
  <c r="G21" i="4"/>
  <c r="J20" i="4"/>
  <c r="G20" i="4"/>
  <c r="J19" i="4"/>
  <c r="G19" i="4"/>
  <c r="J18" i="4"/>
  <c r="G18" i="4"/>
  <c r="J17" i="4"/>
  <c r="G17" i="4"/>
  <c r="J16" i="4"/>
  <c r="G16" i="4"/>
  <c r="J15" i="4"/>
  <c r="G15" i="4"/>
  <c r="J14" i="4"/>
  <c r="G14" i="4"/>
  <c r="G23" i="4" s="1"/>
  <c r="J13" i="4"/>
  <c r="G13" i="4"/>
  <c r="J12" i="4"/>
  <c r="G12" i="4"/>
  <c r="J11" i="4"/>
  <c r="G11" i="4"/>
  <c r="J10" i="4"/>
  <c r="G10" i="4"/>
  <c r="J9" i="4"/>
  <c r="G9" i="4"/>
  <c r="J8" i="4"/>
  <c r="G8" i="4"/>
  <c r="J7" i="4"/>
  <c r="G7" i="4"/>
  <c r="J6" i="4"/>
  <c r="G6" i="4"/>
  <c r="J5" i="4"/>
  <c r="J23" i="4" s="1"/>
  <c r="G5" i="4"/>
  <c r="F15" i="3"/>
  <c r="F14" i="3"/>
  <c r="G14" i="3" s="1"/>
  <c r="F13" i="3"/>
  <c r="G13" i="3" s="1"/>
  <c r="G12" i="3"/>
  <c r="F12" i="3"/>
  <c r="F11" i="3"/>
  <c r="G11" i="3" s="1"/>
  <c r="G10" i="3"/>
  <c r="F10" i="3"/>
  <c r="F9" i="3"/>
  <c r="G9" i="3" s="1"/>
  <c r="G8" i="3"/>
  <c r="F8" i="3"/>
  <c r="F7" i="3"/>
  <c r="G7" i="3" s="1"/>
  <c r="G6" i="3"/>
  <c r="F6" i="3"/>
  <c r="F5" i="3"/>
  <c r="G5" i="3" s="1"/>
  <c r="C26" i="2"/>
  <c r="G15" i="3" l="1"/>
  <c r="C6" i="9"/>
  <c r="C5" i="6"/>
  <c r="D5" i="6" s="1"/>
  <c r="D7" i="6" s="1"/>
  <c r="C8" i="9" s="1"/>
  <c r="E25" i="5"/>
  <c r="C7" i="9"/>
  <c r="C6" i="6"/>
  <c r="D6" i="6" s="1"/>
  <c r="F16" i="3"/>
  <c r="E20" i="7"/>
  <c r="C5" i="9" l="1"/>
  <c r="C11" i="9" l="1"/>
  <c r="C4" i="10" l="1"/>
  <c r="C12" i="9"/>
  <c r="C13" i="9" s="1"/>
  <c r="C6" i="10" l="1"/>
  <c r="C5" i="13"/>
  <c r="C14" i="9"/>
  <c r="C10" i="13"/>
  <c r="C5" i="10"/>
  <c r="C12" i="13" l="1"/>
  <c r="C13" i="10"/>
  <c r="C7" i="10"/>
  <c r="C7" i="13"/>
  <c r="C15" i="9"/>
  <c r="C8" i="10" l="1"/>
  <c r="C6" i="13"/>
  <c r="C17" i="10"/>
  <c r="C12" i="10"/>
  <c r="C11" i="13"/>
</calcChain>
</file>

<file path=xl/sharedStrings.xml><?xml version="1.0" encoding="utf-8"?>
<sst xmlns="http://schemas.openxmlformats.org/spreadsheetml/2006/main" count="492" uniqueCount="396">
  <si>
    <t>Proyecto: Desarrollo de Sistema de Información para Gestión Logística
en Empresa de Distribución de Productos Electrónicos</t>
  </si>
  <si>
    <t>Presentado por:</t>
  </si>
  <si>
    <t>Alejandro De Mendoza</t>
  </si>
  <si>
    <t>Materia:</t>
  </si>
  <si>
    <t>Actividad:</t>
  </si>
  <si>
    <t>Laboratorio – Contabilidad Analítica y Planificación de Proyectos</t>
  </si>
  <si>
    <t>Duración:</t>
  </si>
  <si>
    <t>8 meses</t>
  </si>
  <si>
    <t>País / Ciudad:</t>
  </si>
  <si>
    <t>Colombia – Bogotá D.C.</t>
  </si>
  <si>
    <t>Moneda:</t>
  </si>
  <si>
    <t>Pesos Colombianos (COP)</t>
  </si>
  <si>
    <t>Fecha de elaboración:</t>
  </si>
  <si>
    <t>Mayo 2026</t>
  </si>
  <si>
    <t>Versión:</t>
  </si>
  <si>
    <t>1.0</t>
  </si>
  <si>
    <t>CONTENIDO DEL LIBRO</t>
  </si>
  <si>
    <t>PORTADA</t>
  </si>
  <si>
    <t>Carátula e índice del laboratorio</t>
  </si>
  <si>
    <t>SUPUESTOS</t>
  </si>
  <si>
    <t>Parámetros y variables del proyecto</t>
  </si>
  <si>
    <t>REC_HUMANO</t>
  </si>
  <si>
    <t>Equipo de trabajo, salarios y prestaciones</t>
  </si>
  <si>
    <t>ACTIVIDADES</t>
  </si>
  <si>
    <t>Actividades por recurso humano (tabla principal)</t>
  </si>
  <si>
    <t>REC_TECNICO</t>
  </si>
  <si>
    <t>Hardware, software y licencias</t>
  </si>
  <si>
    <t>IMPUESTOS</t>
  </si>
  <si>
    <t>IVA y cargas tributarias en Colombia</t>
  </si>
  <si>
    <t>COSTOS_OPERATIVOS</t>
  </si>
  <si>
    <t>Servicios públicos y otros costos operativos</t>
  </si>
  <si>
    <t>IMPREVISTOS</t>
  </si>
  <si>
    <t>Fondo de contingencias (10%)</t>
  </si>
  <si>
    <t>RESUMEN_COSTOS</t>
  </si>
  <si>
    <t>Consolidado total de costos del proyecto</t>
  </si>
  <si>
    <t>RENTABILIDAD</t>
  </si>
  <si>
    <t>Análisis de rentabilidad e indicadores financieros</t>
  </si>
  <si>
    <t>CLASIFICACION</t>
  </si>
  <si>
    <t>Clasificación analítica de costos</t>
  </si>
  <si>
    <t>GANTT</t>
  </si>
  <si>
    <t>Cronograma de actividades – Diagrama de Gantt</t>
  </si>
  <si>
    <t>RESUMEN_EJECUTIVO</t>
  </si>
  <si>
    <t>Dashboard ejecutivo del proyecto</t>
  </si>
  <si>
    <t>SUPUESTOS Y PARÁMETROS DEL PROYECTO</t>
  </si>
  <si>
    <t>Proyecto: Sistema de Información – Gestión Logística (Distribución Electrónicos)</t>
  </si>
  <si>
    <t>1. PARÁMETROS GENERALES</t>
  </si>
  <si>
    <t>Duración del proyecto (meses)</t>
  </si>
  <si>
    <t>[meses] Fijado por el cliente</t>
  </si>
  <si>
    <t>Horas laborables por semana</t>
  </si>
  <si>
    <t>[horas] Jornada legal Colombia</t>
  </si>
  <si>
    <t>Semanas por mes</t>
  </si>
  <si>
    <t>[sem/mes] Promedio</t>
  </si>
  <si>
    <t>Horas laborables por mes</t>
  </si>
  <si>
    <t>[horas] =40×4.33</t>
  </si>
  <si>
    <t>Margen de ganancia</t>
  </si>
  <si>
    <t>[%] 30% sobre costo total</t>
  </si>
  <si>
    <t>Fondo de imprevistos</t>
  </si>
  <si>
    <t>[%] 10% sobre costo total</t>
  </si>
  <si>
    <t>IVA compras tecnológicas (Colombia)</t>
  </si>
  <si>
    <t>[%] Estatuto Tributario</t>
  </si>
  <si>
    <t>Carga prestacional (aprox.)</t>
  </si>
  <si>
    <t>[%] Suma prestaciones Col.</t>
  </si>
  <si>
    <t>2. DETALLE CARGA PRESTACIONAL COLOMBIA</t>
  </si>
  <si>
    <t>Concepto</t>
  </si>
  <si>
    <t>Porcentaje</t>
  </si>
  <si>
    <t>Notas</t>
  </si>
  <si>
    <t>Salud (aporte empleador)</t>
  </si>
  <si>
    <t>Pensión (aporte empleador)</t>
  </si>
  <si>
    <t>ARL promedio</t>
  </si>
  <si>
    <t>Caja de Compensación</t>
  </si>
  <si>
    <t>Cesantías</t>
  </si>
  <si>
    <t>Intereses sobre cesantías</t>
  </si>
  <si>
    <t>Prima de servicios</t>
  </si>
  <si>
    <t>Vacaciones</t>
  </si>
  <si>
    <t>SENA</t>
  </si>
  <si>
    <t>ICBF</t>
  </si>
  <si>
    <t>TOTAL CARGA PRESTACIONAL</t>
  </si>
  <si>
    <t>RECURSO HUMANO – SALARIOS Y PRESTACIONES SOCIALES</t>
  </si>
  <si>
    <t>Proyecto: Sistema de Información – Gestión Logística</t>
  </si>
  <si>
    <t>Cargo / Perfil</t>
  </si>
  <si>
    <t>Cantidad</t>
  </si>
  <si>
    <t>Salario Mensual
(COP)</t>
  </si>
  <si>
    <t>Meses en
Proyecto</t>
  </si>
  <si>
    <t>Subtotal Salario
Base (COP)</t>
  </si>
  <si>
    <t>Prestaciones
52% (COP)</t>
  </si>
  <si>
    <t>Director de Proyecto</t>
  </si>
  <si>
    <t>Analista de Requerimientos</t>
  </si>
  <si>
    <t>Arquitecto de Software</t>
  </si>
  <si>
    <t>Desarrollador Backend Senior</t>
  </si>
  <si>
    <t>Desarrollador Frontend</t>
  </si>
  <si>
    <t>Diseñador UX/UI</t>
  </si>
  <si>
    <t>Ingeniero QA / Pruebas</t>
  </si>
  <si>
    <t>Administrador de Base de Datos</t>
  </si>
  <si>
    <t>Especialista en Integración TI</t>
  </si>
  <si>
    <t>Soporte e Implementación</t>
  </si>
  <si>
    <t>TOTAL SALARIOS BASE</t>
  </si>
  <si>
    <t>TOTAL MANO DE OBRA (Salarios + Prestaciones)</t>
  </si>
  <si>
    <t>ACTIVIDADES POR RECURSO HUMANO – CONTABILIDAD ANALÍTICA</t>
  </si>
  <si>
    <t>Proyecto: Sistema de Información – Gestión Logística (8 meses / 173 hrs/mes)</t>
  </si>
  <si>
    <t>No</t>
  </si>
  <si>
    <t>Actividad / Tarea</t>
  </si>
  <si>
    <t>Recurso Humano</t>
  </si>
  <si>
    <t>Tiempo
(horas)</t>
  </si>
  <si>
    <t>Coste RH
x Hora (COP)</t>
  </si>
  <si>
    <t>Sub Total
Recurso Humano</t>
  </si>
  <si>
    <t>Tiempo
(horas)
Recurso Técnico</t>
  </si>
  <si>
    <t>Coste RT
x Hora (COP)</t>
  </si>
  <si>
    <t>Sub Total
Recurso Técnico</t>
  </si>
  <si>
    <t>ACT001</t>
  </si>
  <si>
    <t>Levantamiento y análisis de requerimientos</t>
  </si>
  <si>
    <t>ACT002</t>
  </si>
  <si>
    <t>Diseño arquitectura del sistema</t>
  </si>
  <si>
    <t>ACT003</t>
  </si>
  <si>
    <t>Diseño de base de datos logística</t>
  </si>
  <si>
    <t>ACT004</t>
  </si>
  <si>
    <t>Diseño de interfaz de usuario (UX/UI)</t>
  </si>
  <si>
    <t>ACT005</t>
  </si>
  <si>
    <t>Desarrollo módulo gestión de inventarios</t>
  </si>
  <si>
    <t>ACT006</t>
  </si>
  <si>
    <t>Desarrollo módulo gestión de pedidos</t>
  </si>
  <si>
    <t>ACT007</t>
  </si>
  <si>
    <t>Desarrollo módulo trazabilidad y despachos</t>
  </si>
  <si>
    <t>ACT008</t>
  </si>
  <si>
    <t>Desarrollo módulo reportes y BI básico</t>
  </si>
  <si>
    <t>ACT009</t>
  </si>
  <si>
    <t>Desarrollo de APIs e integraciones</t>
  </si>
  <si>
    <t>ACT010</t>
  </si>
  <si>
    <t>Integración con ERP existente de la empresa</t>
  </si>
  <si>
    <t>ACT011</t>
  </si>
  <si>
    <t>Pruebas funcionales y de carga</t>
  </si>
  <si>
    <t>ACT012</t>
  </si>
  <si>
    <t>Corrección de errores y ajustes</t>
  </si>
  <si>
    <t>ACT013</t>
  </si>
  <si>
    <t>Configuración de servidores e infraestructura</t>
  </si>
  <si>
    <t>ACT014</t>
  </si>
  <si>
    <t>Implantación del sistema en producción</t>
  </si>
  <si>
    <t>ACT015</t>
  </si>
  <si>
    <t>Capacitación de usuarios finales</t>
  </si>
  <si>
    <t>ACT016</t>
  </si>
  <si>
    <t>Documentación técnica y manual de usuario</t>
  </si>
  <si>
    <t>ACT017</t>
  </si>
  <si>
    <t>Gestión del proyecto y control de avance</t>
  </si>
  <si>
    <t>ACT018</t>
  </si>
  <si>
    <t>Evaluación final y cierre del proyecto</t>
  </si>
  <si>
    <t>TOTAL COSTE ACTIVIDADES</t>
  </si>
  <si>
    <t>RECURSOS TÉCNICOS – HARDWARE, SOFTWARE Y LICENCIAS</t>
  </si>
  <si>
    <t>A. HARDWARE</t>
  </si>
  <si>
    <t>Recurso</t>
  </si>
  <si>
    <t>Valor Unitario (COP)</t>
  </si>
  <si>
    <t>Subtotal (COP)</t>
  </si>
  <si>
    <t>Equipos portátiles desarrollo (i7, 16GB RAM)</t>
  </si>
  <si>
    <t>Servidor de pruebas local</t>
  </si>
  <si>
    <t>UPS y red (switches, cableado)</t>
  </si>
  <si>
    <t>Monitor adicional por desarrollador</t>
  </si>
  <si>
    <t>Dispositivos de almacenamiento externo</t>
  </si>
  <si>
    <t>SUBTOTAL HARDWARE</t>
  </si>
  <si>
    <t>B. SOFTWARE Y LICENCIAS</t>
  </si>
  <si>
    <t>Herramienta / Servicio</t>
  </si>
  <si>
    <t>Unidades</t>
  </si>
  <si>
    <t>Valor (COP)</t>
  </si>
  <si>
    <t>Licencias IDE (JetBrains – 8 meses)</t>
  </si>
  <si>
    <t>Hosting Cloud VPS – 8 meses (2 servidores)</t>
  </si>
  <si>
    <t>Dominio web + certificado SSL (1 año)</t>
  </si>
  <si>
    <t>Base de datos empresarial (PostgreSQL)</t>
  </si>
  <si>
    <t>Sistema operativo servidores (Ubuntu Server)</t>
  </si>
  <si>
    <t>Herramienta de gestión de proyectos (Jira 8m)</t>
  </si>
  <si>
    <t>Repositorio código (GitHub Team 8m)</t>
  </si>
  <si>
    <t>Licencias Office 365 (8 meses)</t>
  </si>
  <si>
    <t>Antivirus corporativo (8 meses)</t>
  </si>
  <si>
    <t>Herramienta CI/CD (GitLab CI 8m)</t>
  </si>
  <si>
    <t>SUBTOTAL SOFTWARE Y LICENCIAS</t>
  </si>
  <si>
    <t>TOTAL RECURSOS TÉCNICOS (Hardware + Software)</t>
  </si>
  <si>
    <t>IMPUESTOS Y CARGAS TRIBUTARIAS EN COLOMBIA</t>
  </si>
  <si>
    <t>IVA COMPRAS TECNOLÓGICAS (19%)</t>
  </si>
  <si>
    <t>Base Gravable (COP)</t>
  </si>
  <si>
    <t>IVA 19% (COP)</t>
  </si>
  <si>
    <t>Hardware (equipos y servidores)</t>
  </si>
  <si>
    <t>Aplica IVA 19%</t>
  </si>
  <si>
    <t>Software y Licencias (pagas)</t>
  </si>
  <si>
    <t>Solo sw con costo</t>
  </si>
  <si>
    <t>TOTAL IVA COMPRAS TECNOLÓGICAS</t>
  </si>
  <si>
    <t>NOTA: ESTAMPILLAS REGIONALES</t>
  </si>
  <si>
    <t>• Algunas regiones cobran estampilla departamental del 3% sobre el valor total del proyecto.</t>
  </si>
  <si>
    <t>• Algunas ciudades aplican estampilla municipal adicional (1%-2%).</t>
  </si>
  <si>
    <t>• Se debe consultar la normativa local ANTES de presentar la propuesta al cliente.</t>
  </si>
  <si>
    <t>• En Bogotá D.C.: Estampilla Pro-Universidad (0.5%) aplica a contratos con entidades públicas.</t>
  </si>
  <si>
    <t>• Si el proyecto es con entidad pública, verificar retención en la fuente (3.5%-11%).</t>
  </si>
  <si>
    <t>COSTOS OPERATIVOS Y SERVICIOS PÚBLICOS</t>
  </si>
  <si>
    <t>A. SERVICIOS PÚBLICOS</t>
  </si>
  <si>
    <t>Servicio</t>
  </si>
  <si>
    <t>Valor Mensual (COP)</t>
  </si>
  <si>
    <t>Meses</t>
  </si>
  <si>
    <t>Total (COP)</t>
  </si>
  <si>
    <t>Energía eléctrica (oficina desarrollo)</t>
  </si>
  <si>
    <t>Internet empresarial fibra óptica</t>
  </si>
  <si>
    <t>Agua y alcantarillado</t>
  </si>
  <si>
    <t>Telefonía e internet móvil equipo</t>
  </si>
  <si>
    <t>SUBTOTAL SERVICIOS PÚBLICOS</t>
  </si>
  <si>
    <t>B. OTROS COSTOS OPERATIVOS</t>
  </si>
  <si>
    <t>Papelería y suministros de oficina</t>
  </si>
  <si>
    <t>8 meses completos</t>
  </si>
  <si>
    <t>Transporte y viáticos del equipo</t>
  </si>
  <si>
    <t>Reuniones con cliente</t>
  </si>
  <si>
    <t>Capacitación del equipo (nuevas tecnologías)</t>
  </si>
  <si>
    <t>Cursos, talleres</t>
  </si>
  <si>
    <t>Seguridad informática y respaldos</t>
  </si>
  <si>
    <t>Antivirus, backups</t>
  </si>
  <si>
    <t>Arriendo parcial espacio de trabajo</t>
  </si>
  <si>
    <t>600k/mes × 8 meses</t>
  </si>
  <si>
    <t>Comunicaciones y mensajería</t>
  </si>
  <si>
    <t>Correo, courier</t>
  </si>
  <si>
    <t>SUBTOTAL OTROS COSTOS OPERATIVOS</t>
  </si>
  <si>
    <t>TOTAL COSTOS OPERATIVOS (SP + Otros)</t>
  </si>
  <si>
    <t>FONDO DE IMPREVISTOS Y CONTINGENCIAS</t>
  </si>
  <si>
    <t>Causas de Imprevistos</t>
  </si>
  <si>
    <t>• Retrasos en entregas del equipo: Alta probabilidad en proyectos TI</t>
  </si>
  <si>
    <t>• Cambios de requerimientos del cliente: Frecuente en proyectos sin metodología ágil</t>
  </si>
  <si>
    <t>• Fallos técnicos de infraestructura: Servidores, red, energía</t>
  </si>
  <si>
    <t>• Incrementos de costos de proveedores: Inflación, TRM (si hay compras en USD)</t>
  </si>
  <si>
    <t>• Rotación de personal: Riesgo alto en mercado TI colombiano</t>
  </si>
  <si>
    <t>• Problemas de integración con ERP: Complejidad técnica elevada</t>
  </si>
  <si>
    <t>• Incumplimiento de SLA por terceros: Proveedores de cloud, licencias</t>
  </si>
  <si>
    <t>CÁLCULO DEL FONDO DE IMPREVISTOS</t>
  </si>
  <si>
    <t>Costo total operativo (sin imprevistos)</t>
  </si>
  <si>
    <t>Porcentaje de imprevistos</t>
  </si>
  <si>
    <t>TOTAL FONDO DE IMPREVISTOS (COP)</t>
  </si>
  <si>
    <t>RESUMEN CONSOLIDADO DE COSTOS DEL PROYECTO</t>
  </si>
  <si>
    <t>Proyecto: Sistema de Información Logística – 8 meses</t>
  </si>
  <si>
    <t>Categoría de Costo</t>
  </si>
  <si>
    <t>1. Mano de Obra Total (Salarios + Prestaciones 52%)</t>
  </si>
  <si>
    <t>2. Hardware</t>
  </si>
  <si>
    <t>3. Software y Licencias</t>
  </si>
  <si>
    <t>4. IVA Compras Tecnológicas (19%)</t>
  </si>
  <si>
    <t>5. Servicios Públicos</t>
  </si>
  <si>
    <t>6. Otros Costos Operativos</t>
  </si>
  <si>
    <t>COSTO TOTAL OPERATIVO (sin imprevistos)</t>
  </si>
  <si>
    <t>Fondo de Imprevistos (10%)</t>
  </si>
  <si>
    <t>INVERSIÓN TOTAL (Costo + Imprevistos)</t>
  </si>
  <si>
    <t>Margen de Ganancia (30%)</t>
  </si>
  <si>
    <t>PRECIO FINAL DE VENTA DEL PROYECTO</t>
  </si>
  <si>
    <t>ANÁLISIS DE RENTABILIDAD E INDICADORES FINANCIEROS</t>
  </si>
  <si>
    <t>RESUMEN FINANCIERO</t>
  </si>
  <si>
    <t>Costo total operativo</t>
  </si>
  <si>
    <t>Inversión total</t>
  </si>
  <si>
    <t>Ganancia esperada (30%)</t>
  </si>
  <si>
    <t>Valor de venta del proyecto</t>
  </si>
  <si>
    <t>INDICADORES FINANCIEROS</t>
  </si>
  <si>
    <t>Indicador</t>
  </si>
  <si>
    <t>Resultado</t>
  </si>
  <si>
    <t>Interpretación</t>
  </si>
  <si>
    <t>Margen de utilidad sobre ventas</t>
  </si>
  <si>
    <t>Ganancia / Precio de venta</t>
  </si>
  <si>
    <t>Rentabilidad sobre costos (ROI)</t>
  </si>
  <si>
    <t>Ganancia / Inversión total</t>
  </si>
  <si>
    <t>Costo mensual promedio</t>
  </si>
  <si>
    <t>Inversión total / 8 meses</t>
  </si>
  <si>
    <t>Ingreso mensual promedio</t>
  </si>
  <si>
    <t>Precio venta / 8 meses</t>
  </si>
  <si>
    <t>Utilidad mensual promedio</t>
  </si>
  <si>
    <t>Ganancia / 8 meses</t>
  </si>
  <si>
    <t>Punto de equilibrio (% ejecución)</t>
  </si>
  <si>
    <t>% del proyecto que cubre costos</t>
  </si>
  <si>
    <t>Participación RH en costo total</t>
  </si>
  <si>
    <t>Recurso humano es el mayor costo</t>
  </si>
  <si>
    <t>FÓRMULAS GENERALES APLICADAS</t>
  </si>
  <si>
    <t>▶  Costo Total = Costos Directos + Costos Indirectos + Imprevistos</t>
  </si>
  <si>
    <t>▶  Precio de Venta = Costo Total + Margen de Ganancia</t>
  </si>
  <si>
    <t>▶  Rentabilidad (ROI) = (Ganancia / Costos Totales) × 100</t>
  </si>
  <si>
    <t>▶  Costo Hora RH = Salario Mensual / Horas Laborables Mes (173 hrs)</t>
  </si>
  <si>
    <t>▶  Prestaciones = Salario Base × 52% (carga prestacional Colombia)</t>
  </si>
  <si>
    <t>▶  IVA = Base Gravable × 19% (compras tecnológicas)</t>
  </si>
  <si>
    <t>CLASIFICACIÓN ANALÍTICA DE COSTOS</t>
  </si>
  <si>
    <t>Principios de Contabilidad Analítica aplicados al proyecto</t>
  </si>
  <si>
    <t>COSTOS DIRECTOS</t>
  </si>
  <si>
    <t>COSTOS INDIRECTOS</t>
  </si>
  <si>
    <t>COSTOS FIJOS</t>
  </si>
  <si>
    <t>COSTOS VARIABLES</t>
  </si>
  <si>
    <t>• Salarios del equipo de desarrollo</t>
  </si>
  <si>
    <t>• Energía eléctrica</t>
  </si>
  <si>
    <t>• Salarios mensuales fijos</t>
  </si>
  <si>
    <t>• Transporte y reuniones</t>
  </si>
  <si>
    <t>• Prestaciones sociales</t>
  </si>
  <si>
    <t>• Internet empresarial</t>
  </si>
  <si>
    <t>• Internet (contrato fijo)</t>
  </si>
  <si>
    <t>• Viáticos por desplazamiento</t>
  </si>
  <si>
    <t>• Equipos de cómputo (hardware)</t>
  </si>
  <si>
    <t>• Administración y papelería</t>
  </si>
  <si>
    <t>• Hosting cloud (contrato mensual)</t>
  </si>
  <si>
    <t>• Soporte adicional no planificado</t>
  </si>
  <si>
    <t>• Licencias de herramientas de desarrollo</t>
  </si>
  <si>
    <t>• Transporte y viáticos</t>
  </si>
  <si>
    <t>• Licencias anuales / mensuales</t>
  </si>
  <si>
    <t>• Cambios de requerimientos</t>
  </si>
  <si>
    <t>• Hosting y base de datos del proyecto</t>
  </si>
  <si>
    <t>• Capacitación del equipo</t>
  </si>
  <si>
    <t>• Arriendo espacio de trabajo</t>
  </si>
  <si>
    <t>• Recursos adicionales por urgencias</t>
  </si>
  <si>
    <t>• Servicios públicos generales</t>
  </si>
  <si>
    <t>CENTROS DE COSTO IDENTIFICADOS</t>
  </si>
  <si>
    <t>Código</t>
  </si>
  <si>
    <t>Centro de Costo</t>
  </si>
  <si>
    <t>Descripción</t>
  </si>
  <si>
    <t>CC-001</t>
  </si>
  <si>
    <t>Gestión del Proyecto</t>
  </si>
  <si>
    <t>Director de Proyecto – control integral</t>
  </si>
  <si>
    <t>CC-002</t>
  </si>
  <si>
    <t>Ingeniería y Desarrollo</t>
  </si>
  <si>
    <t>Equipo técnico – backend, frontend, DBA</t>
  </si>
  <si>
    <t>CC-003</t>
  </si>
  <si>
    <t>Calidad y Pruebas</t>
  </si>
  <si>
    <t>Ingeniero QA – validación y corrección</t>
  </si>
  <si>
    <t>CC-004</t>
  </si>
  <si>
    <t>Infraestructura Tecnológica</t>
  </si>
  <si>
    <t>Servidores, cloud, redes, seguridad</t>
  </si>
  <si>
    <t>CC-005</t>
  </si>
  <si>
    <t>Implantación y Capacitación</t>
  </si>
  <si>
    <t>Soporte, formación de usuarios</t>
  </si>
  <si>
    <t>CRONOGRAMA DE ACTIVIDADES – DIAGRAMA DE GANTT</t>
  </si>
  <si>
    <t>Actividad</t>
  </si>
  <si>
    <t>Responsable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</si>
  <si>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</si>
  <si>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</si>
  <si>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</si>
  <si>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</si>
  <si>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</si>
  <si>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</si>
  <si>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</si>
  <si>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</si>
  <si>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Levantamiento de requerimientos</t>
  </si>
  <si>
    <t>Analista Req.</t>
  </si>
  <si>
    <t>■</t>
  </si>
  <si>
    <t>Diseño de arquitectura del sistema</t>
  </si>
  <si>
    <t>Arq. Software</t>
  </si>
  <si>
    <t>Diseño de base de datos</t>
  </si>
  <si>
    <t>DBA</t>
  </si>
  <si>
    <t>Diseño de interfaz UX/UI</t>
  </si>
  <si>
    <t>Diseñador UX</t>
  </si>
  <si>
    <t>Desarrollo módulo inventarios</t>
  </si>
  <si>
    <t>Dev Backend</t>
  </si>
  <si>
    <t>Desarrollo módulo pedidos</t>
  </si>
  <si>
    <t>Desarrollo módulo trazabilidad</t>
  </si>
  <si>
    <t>Desarrollo módulo reportes BI</t>
  </si>
  <si>
    <t>Dev Frontend</t>
  </si>
  <si>
    <t>Desarrollo APIs e integraciones</t>
  </si>
  <si>
    <t>Esp. Integr.</t>
  </si>
  <si>
    <t>Integración con ERP existente</t>
  </si>
  <si>
    <t>Ing. QA</t>
  </si>
  <si>
    <t>Corrección de errores</t>
  </si>
  <si>
    <t>Config. servidores e infraestructura</t>
  </si>
  <si>
    <t>Implantación en producción</t>
  </si>
  <si>
    <t>Soporte</t>
  </si>
  <si>
    <t>Capacitación usuarios finales</t>
  </si>
  <si>
    <t>Dir. Proyecto</t>
  </si>
  <si>
    <t>Documentación técnica</t>
  </si>
  <si>
    <t>Gestión y control del proyecto</t>
  </si>
  <si>
    <t>Evaluación final y cierre</t>
  </si>
  <si>
    <t>RESUMEN EJECUTIVO – DASHBOARD DEL PROYECTO</t>
  </si>
  <si>
    <t>Sistema de Información para Gestión Logística – Empresa de Distribución de Electrónicos</t>
  </si>
  <si>
    <t>INDICADORES CLAVE (KPIs)</t>
  </si>
  <si>
    <t>💰 Inversión Total del Proyecto</t>
  </si>
  <si>
    <t>💵 Precio Final de Venta</t>
  </si>
  <si>
    <t>📈 Ganancia Esperada (30%)</t>
  </si>
  <si>
    <t>📅 Duración del Proyecto</t>
  </si>
  <si>
    <t>👥 Total Personas en el Equipo</t>
  </si>
  <si>
    <t>⚠️  Fondo de Imprevistos</t>
  </si>
  <si>
    <t>📊 Margen de Utilidad sobre Ventas</t>
  </si>
  <si>
    <t>🏦 ROI (Retorno sobre Inversión)</t>
  </si>
  <si>
    <t>CONCLUSIONES DEL ANÁLISIS</t>
  </si>
  <si>
    <t>1. El proyecto requiere una inversión total (con imprevistos) que cubre todos los riesgos identificados.</t>
  </si>
  <si>
    <t>2. El recurso humano representa más del 70% del costo total – es el mayor factor de costo en TI.</t>
  </si>
  <si>
    <t>3. La carga prestacional del 52% en Colombia es un factor crítico que no puede omitirse en el presupuesto.</t>
  </si>
  <si>
    <t>4. El IVA del 19% sobre compras tecnológicas (hardware y software) incrementa significativamente el costo.</t>
  </si>
  <si>
    <t>5. El fondo de imprevistos del 10% protege el proyecto ante cambios de requerimientos y retrasos.</t>
  </si>
  <si>
    <t>6. Con un margen del 30%, el proyecto es financieramente viable y competitivo en el mercado colombiano.</t>
  </si>
  <si>
    <t>7. La metodología ágil (Scrum/Kanban) reduciría costos de corrección y cambios de requerimientos.</t>
  </si>
  <si>
    <t>8. Se recomienda monitorear mensualmente los indicadores financieros para detectar desviaciones.</t>
  </si>
  <si>
    <t>RECOMENDACIONES ESTRATÉGICAS</t>
  </si>
  <si>
    <t>✅ Implementar control de tiempos con herramienta como Jira o ClickUp desde el día 1.</t>
  </si>
  <si>
    <t>✅ Usar metodología Scrum (sprints de 2 semanas) para reducir riesgo de cambios tardíos.</t>
  </si>
  <si>
    <t>✅ Monitorear desviaciones presupuestales mensualmente con este mismo archivo Excel.</t>
  </si>
  <si>
    <t>✅ Negociar contratos por prestación de servicios para optimizar carga tributaria.</t>
  </si>
  <si>
    <t>✅ Automatizar pruebas (CI/CD) para disminuir costos de corrección en fases tardías.</t>
  </si>
  <si>
    <t>✅ Verificar estampillas regionales y retenciones ANTES de firmar el contrato con el cliente.</t>
  </si>
  <si>
    <t>✅ Documentar todos los cambios de requerimientos con acta firmada para controlar el alcance.</t>
  </si>
  <si>
    <t>LABORATORIO DE INTEGRACIÓN DE SISTEMAS CONTABILIDAD ANALÍTICA
PLANIFICACIÓN Y PRESUPUESTO DE PROYECTOS TI</t>
  </si>
  <si>
    <t>Integración de Sistemas</t>
  </si>
  <si>
    <t>Presentado por: Alejandro De Mendoza | Asignatura: Integración de Sistemas |  Mayo 2026</t>
  </si>
  <si>
    <t>Ley 100 de 1993</t>
  </si>
  <si>
    <t>Decreto 1772 de 1994</t>
  </si>
  <si>
    <t>Ley 21 de 1982</t>
  </si>
  <si>
    <t>CST Art. 249</t>
  </si>
  <si>
    <t>Ley 52 de 1975</t>
  </si>
  <si>
    <t>CST Art. 306</t>
  </si>
  <si>
    <t>CST Art. 186</t>
  </si>
  <si>
    <t>Ley 119 de 1994</t>
  </si>
  <si>
    <t>Decreto 118 de 1957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</si>
</sst>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28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1F3864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2E75B6"/>
      <name val="Arial"/>
      <charset val="1"/>
    </font>
    <font>
      <sz val="10"/>
      <name val="Arial"/>
      <charset val="1"/>
    </font>
    <font>
      <b/>
      <sz val="14"/>
      <color rgb="FFFFFFFF"/>
      <name val="Arial"/>
      <charset val="1"/>
    </font>
    <font>
      <b/>
      <sz val="10"/>
      <color rgb="FF0000FF"/>
      <name val="Arial"/>
      <charset val="1"/>
    </font>
    <font>
      <i/>
      <sz val="9"/>
      <color rgb="FF000000"/>
      <name val="Arial"/>
      <charset val="1"/>
    </font>
    <font>
      <b/>
      <sz val="11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9"/>
      <color rgb="FFFFFFFF"/>
      <name val="Arial"/>
      <charset val="1"/>
    </font>
    <font>
      <i/>
      <sz val="9"/>
      <color rgb="FF7F0000"/>
      <name val="Arial"/>
      <charset val="1"/>
    </font>
    <font>
      <b/>
      <sz val="12"/>
      <color rgb="FFFFFFFF"/>
      <name val="Arial"/>
      <charset val="1"/>
    </font>
    <font>
      <i/>
      <sz val="10"/>
      <color rgb="FF1F3864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5"/>
      <color rgb="FFFFFFFF"/>
      <name val="Arial"/>
      <charset val="1"/>
    </font>
    <font>
      <b/>
      <sz val="12"/>
      <color rgb="FF1F3864"/>
      <name val="Arial"/>
      <charset val="1"/>
    </font>
    <font>
      <sz val="10"/>
      <color rgb="FF375623"/>
      <name val="Arial"/>
      <charset val="1"/>
    </font>
    <font>
      <b/>
      <sz val="10"/>
      <color theme="3" tint="-0.249977111117893"/>
      <name val="Arial"/>
      <family val="2"/>
    </font>
    <font>
      <b/>
      <sz val="12"/>
      <color theme="3" tint="-0.249977111117893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D9D9"/>
      </patternFill>
    </fill>
    <fill>
      <patternFill patternType="solid">
        <fgColor rgb="FFFFFFFF"/>
        <bgColor rgb="FFFFF2CC"/>
      </patternFill>
    </fill>
    <fill>
      <patternFill patternType="solid">
        <fgColor rgb="FFD9D9D9"/>
        <bgColor rgb="FFE2D9F3"/>
      </patternFill>
    </fill>
    <fill>
      <patternFill patternType="solid">
        <fgColor rgb="FFE2EFDA"/>
        <bgColor rgb="FFFFF2CC"/>
      </patternFill>
    </fill>
    <fill>
      <patternFill patternType="solid">
        <fgColor rgb="FFC9A227"/>
        <bgColor rgb="FFF4B942"/>
      </patternFill>
    </fill>
    <fill>
      <patternFill patternType="solid">
        <fgColor rgb="FF375623"/>
        <bgColor rgb="FF333300"/>
      </patternFill>
    </fill>
    <fill>
      <patternFill patternType="solid">
        <fgColor rgb="FFF4B942"/>
        <bgColor rgb="FFC9A227"/>
      </patternFill>
    </fill>
    <fill>
      <patternFill patternType="solid">
        <fgColor rgb="FFFFF2CC"/>
        <bgColor rgb="FFE2EFDA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E2D9F3"/>
        <bgColor rgb="FFD9D9D9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1">
    <xf numFmtId="0" fontId="0" fillId="0" borderId="0" xfId="0"/>
    <xf numFmtId="0" fontId="5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4" fontId="10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4" fontId="10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164" fontId="10" fillId="4" borderId="1" xfId="0" applyNumberFormat="1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65" fontId="3" fillId="7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0" fontId="14" fillId="5" borderId="1" xfId="0" applyFont="1" applyFill="1" applyBorder="1" applyAlignment="1">
      <alignment horizontal="center" vertical="center"/>
    </xf>
    <xf numFmtId="3" fontId="14" fillId="5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3" fontId="3" fillId="8" borderId="1" xfId="0" applyNumberFormat="1" applyFont="1" applyFill="1" applyBorder="1" applyAlignment="1">
      <alignment horizontal="right" vertical="center"/>
    </xf>
    <xf numFmtId="3" fontId="14" fillId="4" borderId="1" xfId="0" applyNumberFormat="1" applyFont="1" applyFill="1" applyBorder="1" applyAlignment="1">
      <alignment horizontal="center" vertical="center"/>
    </xf>
    <xf numFmtId="3" fontId="14" fillId="5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9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5" fillId="5" borderId="17" xfId="0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center" vertical="center"/>
    </xf>
    <xf numFmtId="0" fontId="7" fillId="4" borderId="16" xfId="0" applyFont="1" applyFill="1" applyBorder="1"/>
    <xf numFmtId="0" fontId="7" fillId="5" borderId="16" xfId="0" applyFont="1" applyFill="1" applyBorder="1"/>
    <xf numFmtId="0" fontId="7" fillId="4" borderId="18" xfId="0" applyFont="1" applyFill="1" applyBorder="1"/>
    <xf numFmtId="0" fontId="3" fillId="4" borderId="4" xfId="0" applyFont="1" applyFill="1" applyBorder="1" applyAlignment="1">
      <alignment horizontal="left" vertical="center"/>
    </xf>
    <xf numFmtId="0" fontId="3" fillId="4" borderId="31" xfId="0" applyFont="1" applyFill="1" applyBorder="1" applyAlignment="1">
      <alignment horizontal="left" vertical="center"/>
    </xf>
    <xf numFmtId="0" fontId="3" fillId="4" borderId="32" xfId="0" applyFont="1" applyFill="1" applyBorder="1" applyAlignment="1">
      <alignment horizontal="left" vertical="center"/>
    </xf>
    <xf numFmtId="0" fontId="3" fillId="4" borderId="33" xfId="0" applyFont="1" applyFill="1" applyBorder="1" applyAlignment="1">
      <alignment horizontal="left" vertical="center"/>
    </xf>
    <xf numFmtId="0" fontId="15" fillId="3" borderId="22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 wrapText="1"/>
    </xf>
    <xf numFmtId="0" fontId="15" fillId="3" borderId="3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/>
    </xf>
    <xf numFmtId="3" fontId="5" fillId="4" borderId="17" xfId="0" applyNumberFormat="1" applyFont="1" applyFill="1" applyBorder="1" applyAlignment="1">
      <alignment horizontal="right" vertical="center"/>
    </xf>
    <xf numFmtId="0" fontId="3" fillId="5" borderId="16" xfId="0" applyFont="1" applyFill="1" applyBorder="1" applyAlignment="1">
      <alignment horizontal="center" vertical="center"/>
    </xf>
    <xf numFmtId="3" fontId="5" fillId="5" borderId="17" xfId="0" applyNumberFormat="1" applyFont="1" applyFill="1" applyBorder="1" applyAlignment="1">
      <alignment horizontal="right" vertical="center"/>
    </xf>
    <xf numFmtId="3" fontId="3" fillId="8" borderId="36" xfId="0" applyNumberFormat="1" applyFont="1" applyFill="1" applyBorder="1" applyAlignment="1">
      <alignment horizontal="right" vertical="center"/>
    </xf>
    <xf numFmtId="0" fontId="6" fillId="3" borderId="35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left" vertical="center"/>
    </xf>
    <xf numFmtId="0" fontId="0" fillId="0" borderId="37" xfId="0" applyBorder="1"/>
    <xf numFmtId="3" fontId="3" fillId="8" borderId="17" xfId="0" applyNumberFormat="1" applyFont="1" applyFill="1" applyBorder="1" applyAlignment="1">
      <alignment horizontal="right" vertical="center"/>
    </xf>
    <xf numFmtId="3" fontId="24" fillId="8" borderId="36" xfId="0" applyNumberFormat="1" applyFont="1" applyFill="1" applyBorder="1" applyAlignment="1">
      <alignment horizontal="right" vertical="center"/>
    </xf>
    <xf numFmtId="0" fontId="11" fillId="4" borderId="17" xfId="0" applyFont="1" applyFill="1" applyBorder="1" applyAlignment="1">
      <alignment horizontal="left" vertical="center"/>
    </xf>
    <xf numFmtId="0" fontId="11" fillId="5" borderId="17" xfId="0" applyFont="1" applyFill="1" applyBorder="1" applyAlignment="1">
      <alignment horizontal="left" vertical="center"/>
    </xf>
    <xf numFmtId="3" fontId="3" fillId="8" borderId="40" xfId="0" applyNumberFormat="1" applyFont="1" applyFill="1" applyBorder="1" applyAlignment="1">
      <alignment horizontal="right" vertical="center"/>
    </xf>
    <xf numFmtId="3" fontId="3" fillId="5" borderId="17" xfId="0" applyNumberFormat="1" applyFont="1" applyFill="1" applyBorder="1" applyAlignment="1">
      <alignment horizontal="right" vertical="center"/>
    </xf>
    <xf numFmtId="164" fontId="3" fillId="5" borderId="17" xfId="0" applyNumberFormat="1" applyFont="1" applyFill="1" applyBorder="1" applyAlignment="1">
      <alignment horizontal="right" vertical="center"/>
    </xf>
    <xf numFmtId="3" fontId="3" fillId="4" borderId="17" xfId="0" applyNumberFormat="1" applyFont="1" applyFill="1" applyBorder="1" applyAlignment="1">
      <alignment horizontal="right" vertical="center"/>
    </xf>
    <xf numFmtId="3" fontId="5" fillId="11" borderId="17" xfId="0" applyNumberFormat="1" applyFont="1" applyFill="1" applyBorder="1" applyAlignment="1">
      <alignment horizontal="right" vertical="center"/>
    </xf>
    <xf numFmtId="3" fontId="25" fillId="8" borderId="36" xfId="0" applyNumberFormat="1" applyFont="1" applyFill="1" applyBorder="1" applyAlignment="1">
      <alignment horizontal="right" vertical="center"/>
    </xf>
    <xf numFmtId="0" fontId="5" fillId="7" borderId="16" xfId="0" applyFont="1" applyFill="1" applyBorder="1" applyAlignment="1">
      <alignment horizontal="left" vertical="center"/>
    </xf>
    <xf numFmtId="0" fontId="11" fillId="7" borderId="17" xfId="0" applyFont="1" applyFill="1" applyBorder="1" applyAlignment="1">
      <alignment horizontal="left" vertical="center"/>
    </xf>
    <xf numFmtId="0" fontId="5" fillId="7" borderId="18" xfId="0" applyFont="1" applyFill="1" applyBorder="1" applyAlignment="1">
      <alignment horizontal="left" vertical="center"/>
    </xf>
    <xf numFmtId="0" fontId="11" fillId="7" borderId="36" xfId="0" applyFont="1" applyFill="1" applyBorder="1" applyAlignment="1">
      <alignment horizontal="left" vertical="center"/>
    </xf>
    <xf numFmtId="0" fontId="13" fillId="3" borderId="22" xfId="0" applyFont="1" applyFill="1" applyBorder="1" applyAlignment="1">
      <alignment horizontal="center" vertical="center"/>
    </xf>
    <xf numFmtId="0" fontId="13" fillId="12" borderId="34" xfId="0" applyFont="1" applyFill="1" applyBorder="1" applyAlignment="1">
      <alignment horizontal="center" vertical="center"/>
    </xf>
    <xf numFmtId="0" fontId="13" fillId="9" borderId="34" xfId="0" applyFont="1" applyFill="1" applyBorder="1" applyAlignment="1">
      <alignment horizontal="center" vertical="center"/>
    </xf>
    <xf numFmtId="0" fontId="13" fillId="13" borderId="35" xfId="0" applyFont="1" applyFill="1" applyBorder="1" applyAlignment="1">
      <alignment horizontal="center" vertical="center"/>
    </xf>
    <xf numFmtId="0" fontId="5" fillId="11" borderId="17" xfId="0" applyFont="1" applyFill="1" applyBorder="1" applyAlignment="1">
      <alignment horizontal="left" vertical="center"/>
    </xf>
    <xf numFmtId="0" fontId="0" fillId="0" borderId="18" xfId="0" applyBorder="1"/>
    <xf numFmtId="0" fontId="5" fillId="5" borderId="24" xfId="0" applyFont="1" applyFill="1" applyBorder="1" applyAlignment="1">
      <alignment horizontal="left" vertical="center"/>
    </xf>
    <xf numFmtId="0" fontId="0" fillId="0" borderId="24" xfId="0" applyBorder="1"/>
    <xf numFmtId="0" fontId="0" fillId="0" borderId="36" xfId="0" applyBorder="1"/>
    <xf numFmtId="0" fontId="3" fillId="4" borderId="18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left" vertical="center"/>
    </xf>
    <xf numFmtId="0" fontId="11" fillId="4" borderId="36" xfId="0" applyFont="1" applyFill="1" applyBorder="1" applyAlignment="1">
      <alignment horizontal="left" vertical="center"/>
    </xf>
    <xf numFmtId="0" fontId="12" fillId="4" borderId="16" xfId="0" applyFont="1" applyFill="1" applyBorder="1" applyAlignment="1">
      <alignment horizontal="left" vertical="center"/>
    </xf>
    <xf numFmtId="0" fontId="12" fillId="7" borderId="16" xfId="0" applyFont="1" applyFill="1" applyBorder="1" applyAlignment="1">
      <alignment horizontal="left" vertical="center"/>
    </xf>
    <xf numFmtId="0" fontId="12" fillId="7" borderId="18" xfId="0" applyFont="1" applyFill="1" applyBorder="1" applyAlignment="1">
      <alignment horizontal="left" vertical="center"/>
    </xf>
    <xf numFmtId="0" fontId="5" fillId="5" borderId="18" xfId="0" applyFont="1" applyFill="1" applyBorder="1" applyAlignment="1">
      <alignment horizontal="left" vertical="center"/>
    </xf>
    <xf numFmtId="164" fontId="10" fillId="5" borderId="24" xfId="0" applyNumberFormat="1" applyFont="1" applyFill="1" applyBorder="1" applyAlignment="1">
      <alignment horizontal="center" vertical="center"/>
    </xf>
    <xf numFmtId="0" fontId="11" fillId="5" borderId="36" xfId="0" applyFont="1" applyFill="1" applyBorder="1" applyAlignment="1">
      <alignment horizontal="left" vertical="center"/>
    </xf>
    <xf numFmtId="0" fontId="3" fillId="8" borderId="18" xfId="0" applyFont="1" applyFill="1" applyBorder="1" applyAlignment="1">
      <alignment horizontal="left" vertical="center"/>
    </xf>
    <xf numFmtId="3" fontId="24" fillId="8" borderId="24" xfId="0" applyNumberFormat="1" applyFont="1" applyFill="1" applyBorder="1" applyAlignment="1">
      <alignment horizontal="right" vertical="center"/>
    </xf>
    <xf numFmtId="0" fontId="6" fillId="9" borderId="18" xfId="0" applyFont="1" applyFill="1" applyBorder="1" applyAlignment="1">
      <alignment horizontal="left" vertical="center"/>
    </xf>
    <xf numFmtId="10" fontId="7" fillId="7" borderId="24" xfId="0" applyNumberFormat="1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left" vertical="center"/>
    </xf>
    <xf numFmtId="0" fontId="6" fillId="10" borderId="16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3" borderId="16" xfId="0" applyFont="1" applyFill="1" applyBorder="1" applyAlignment="1">
      <alignment horizontal="left" vertical="center"/>
    </xf>
    <xf numFmtId="0" fontId="17" fillId="9" borderId="18" xfId="0" applyFont="1" applyFill="1" applyBorder="1" applyAlignment="1">
      <alignment horizontal="left" vertical="center"/>
    </xf>
    <xf numFmtId="0" fontId="27" fillId="4" borderId="16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/>
    </xf>
    <xf numFmtId="0" fontId="4" fillId="4" borderId="15" xfId="0" applyFont="1" applyFill="1" applyBorder="1" applyAlignment="1">
      <alignment horizontal="left" vertical="center"/>
    </xf>
    <xf numFmtId="0" fontId="5" fillId="5" borderId="30" xfId="0" applyFont="1" applyFill="1" applyBorder="1" applyAlignment="1">
      <alignment horizontal="left" vertical="center"/>
    </xf>
    <xf numFmtId="0" fontId="5" fillId="5" borderId="27" xfId="0" applyFont="1" applyFill="1" applyBorder="1" applyAlignment="1">
      <alignment horizontal="left" vertical="center"/>
    </xf>
    <xf numFmtId="0" fontId="5" fillId="5" borderId="28" xfId="0" applyFont="1" applyFill="1" applyBorder="1" applyAlignment="1">
      <alignment horizontal="left" vertical="center"/>
    </xf>
    <xf numFmtId="0" fontId="8" fillId="5" borderId="1" xfId="0" applyFont="1" applyFill="1" applyBorder="1"/>
    <xf numFmtId="0" fontId="8" fillId="5" borderId="17" xfId="0" applyFont="1" applyFill="1" applyBorder="1"/>
    <xf numFmtId="0" fontId="8" fillId="4" borderId="1" xfId="0" applyFont="1" applyFill="1" applyBorder="1"/>
    <xf numFmtId="0" fontId="8" fillId="4" borderId="17" xfId="0" applyFont="1" applyFill="1" applyBorder="1"/>
    <xf numFmtId="0" fontId="5" fillId="5" borderId="20" xfId="0" applyFont="1" applyFill="1" applyBorder="1" applyAlignment="1">
      <alignment horizontal="left" vertical="center"/>
    </xf>
    <xf numFmtId="0" fontId="5" fillId="5" borderId="21" xfId="0" applyFont="1" applyFill="1" applyBorder="1" applyAlignment="1">
      <alignment horizontal="left" vertical="center"/>
    </xf>
    <xf numFmtId="0" fontId="8" fillId="4" borderId="19" xfId="0" applyFont="1" applyFill="1" applyBorder="1" applyAlignment="1">
      <alignment horizontal="left"/>
    </xf>
    <xf numFmtId="0" fontId="8" fillId="4" borderId="20" xfId="0" applyFont="1" applyFill="1" applyBorder="1" applyAlignment="1">
      <alignment horizontal="left"/>
    </xf>
    <xf numFmtId="0" fontId="8" fillId="4" borderId="21" xfId="0" applyFont="1" applyFill="1" applyBorder="1" applyAlignment="1">
      <alignment horizontal="left"/>
    </xf>
    <xf numFmtId="0" fontId="6" fillId="3" borderId="25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165" fontId="3" fillId="8" borderId="19" xfId="0" applyNumberFormat="1" applyFont="1" applyFill="1" applyBorder="1" applyAlignment="1">
      <alignment horizontal="center" vertical="center"/>
    </xf>
    <xf numFmtId="165" fontId="3" fillId="8" borderId="2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3" fontId="24" fillId="8" borderId="1" xfId="0" applyNumberFormat="1" applyFont="1" applyFill="1" applyBorder="1" applyAlignment="1">
      <alignment horizontal="right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/>
    </xf>
    <xf numFmtId="0" fontId="6" fillId="9" borderId="24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34" xfId="0" applyFont="1" applyFill="1" applyBorder="1" applyAlignment="1">
      <alignment horizontal="center" vertical="center"/>
    </xf>
    <xf numFmtId="0" fontId="6" fillId="10" borderId="35" xfId="0" applyFont="1" applyFill="1" applyBorder="1" applyAlignment="1">
      <alignment horizontal="center" vertical="center"/>
    </xf>
    <xf numFmtId="0" fontId="16" fillId="11" borderId="16" xfId="0" applyFont="1" applyFill="1" applyBorder="1"/>
    <xf numFmtId="0" fontId="16" fillId="11" borderId="1" xfId="0" applyFont="1" applyFill="1" applyBorder="1"/>
    <xf numFmtId="0" fontId="16" fillId="11" borderId="17" xfId="0" applyFont="1" applyFill="1" applyBorder="1"/>
    <xf numFmtId="0" fontId="16" fillId="11" borderId="18" xfId="0" applyFont="1" applyFill="1" applyBorder="1"/>
    <xf numFmtId="0" fontId="16" fillId="11" borderId="24" xfId="0" applyFont="1" applyFill="1" applyBorder="1"/>
    <xf numFmtId="0" fontId="16" fillId="11" borderId="36" xfId="0" applyFont="1" applyFill="1" applyBorder="1"/>
    <xf numFmtId="3" fontId="24" fillId="8" borderId="19" xfId="0" applyNumberFormat="1" applyFont="1" applyFill="1" applyBorder="1" applyAlignment="1">
      <alignment horizontal="right" vertical="center"/>
    </xf>
    <xf numFmtId="3" fontId="24" fillId="8" borderId="21" xfId="0" applyNumberFormat="1" applyFont="1" applyFill="1" applyBorder="1" applyAlignment="1">
      <alignment horizontal="right" vertical="center"/>
    </xf>
    <xf numFmtId="0" fontId="6" fillId="9" borderId="38" xfId="0" applyFont="1" applyFill="1" applyBorder="1" applyAlignment="1">
      <alignment horizontal="center" vertical="center"/>
    </xf>
    <xf numFmtId="0" fontId="6" fillId="9" borderId="39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3" fontId="14" fillId="5" borderId="1" xfId="0" applyNumberFormat="1" applyFont="1" applyFill="1" applyBorder="1" applyAlignment="1">
      <alignment horizontal="right" vertical="center"/>
    </xf>
    <xf numFmtId="3" fontId="14" fillId="4" borderId="1" xfId="0" applyNumberFormat="1" applyFont="1" applyFill="1" applyBorder="1" applyAlignment="1">
      <alignment horizontal="right" vertical="center"/>
    </xf>
    <xf numFmtId="0" fontId="8" fillId="11" borderId="16" xfId="0" applyFont="1" applyFill="1" applyBorder="1"/>
    <xf numFmtId="0" fontId="8" fillId="11" borderId="17" xfId="0" applyFont="1" applyFill="1" applyBorder="1"/>
    <xf numFmtId="0" fontId="8" fillId="5" borderId="16" xfId="0" applyFont="1" applyFill="1" applyBorder="1"/>
    <xf numFmtId="0" fontId="8" fillId="11" borderId="18" xfId="0" applyFont="1" applyFill="1" applyBorder="1"/>
    <xf numFmtId="0" fontId="8" fillId="11" borderId="36" xfId="0" applyFont="1" applyFill="1" applyBorder="1"/>
    <xf numFmtId="0" fontId="18" fillId="11" borderId="16" xfId="0" applyFont="1" applyFill="1" applyBorder="1"/>
    <xf numFmtId="0" fontId="18" fillId="11" borderId="1" xfId="0" applyFont="1" applyFill="1" applyBorder="1"/>
    <xf numFmtId="0" fontId="18" fillId="11" borderId="17" xfId="0" applyFont="1" applyFill="1" applyBorder="1"/>
    <xf numFmtId="3" fontId="5" fillId="4" borderId="3" xfId="0" applyNumberFormat="1" applyFont="1" applyFill="1" applyBorder="1" applyAlignment="1">
      <alignment horizontal="right" vertical="center"/>
    </xf>
    <xf numFmtId="3" fontId="5" fillId="4" borderId="41" xfId="0" applyNumberFormat="1" applyFont="1" applyFill="1" applyBorder="1" applyAlignment="1">
      <alignment horizontal="right" vertical="center"/>
    </xf>
    <xf numFmtId="3" fontId="5" fillId="5" borderId="3" xfId="0" applyNumberFormat="1" applyFont="1" applyFill="1" applyBorder="1" applyAlignment="1">
      <alignment horizontal="right" vertical="center"/>
    </xf>
    <xf numFmtId="3" fontId="5" fillId="5" borderId="41" xfId="0" applyNumberFormat="1" applyFont="1" applyFill="1" applyBorder="1" applyAlignment="1">
      <alignment horizontal="right" vertical="center"/>
    </xf>
    <xf numFmtId="3" fontId="3" fillId="4" borderId="19" xfId="0" applyNumberFormat="1" applyFont="1" applyFill="1" applyBorder="1" applyAlignment="1">
      <alignment horizontal="right" vertical="center"/>
    </xf>
    <xf numFmtId="3" fontId="3" fillId="4" borderId="21" xfId="0" applyNumberFormat="1" applyFont="1" applyFill="1" applyBorder="1" applyAlignment="1">
      <alignment horizontal="right" vertical="center"/>
    </xf>
    <xf numFmtId="0" fontId="18" fillId="5" borderId="16" xfId="0" applyFont="1" applyFill="1" applyBorder="1"/>
    <xf numFmtId="0" fontId="18" fillId="5" borderId="1" xfId="0" applyFont="1" applyFill="1" applyBorder="1"/>
    <xf numFmtId="0" fontId="18" fillId="5" borderId="17" xfId="0" applyFont="1" applyFill="1" applyBorder="1"/>
    <xf numFmtId="0" fontId="18" fillId="5" borderId="18" xfId="0" applyFont="1" applyFill="1" applyBorder="1"/>
    <xf numFmtId="0" fontId="18" fillId="5" borderId="24" xfId="0" applyFont="1" applyFill="1" applyBorder="1"/>
    <xf numFmtId="0" fontId="18" fillId="5" borderId="36" xfId="0" applyFont="1" applyFill="1" applyBorder="1"/>
    <xf numFmtId="0" fontId="21" fillId="2" borderId="13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3" fontId="22" fillId="8" borderId="1" xfId="0" applyNumberFormat="1" applyFont="1" applyFill="1" applyBorder="1" applyAlignment="1">
      <alignment horizontal="right" vertical="center"/>
    </xf>
    <xf numFmtId="3" fontId="22" fillId="8" borderId="17" xfId="0" applyNumberFormat="1" applyFont="1" applyFill="1" applyBorder="1" applyAlignment="1">
      <alignment horizontal="right" vertical="center"/>
    </xf>
    <xf numFmtId="0" fontId="22" fillId="8" borderId="1" xfId="0" applyFont="1" applyFill="1" applyBorder="1" applyAlignment="1">
      <alignment horizontal="right" vertical="center"/>
    </xf>
    <xf numFmtId="0" fontId="22" fillId="8" borderId="17" xfId="0" applyFont="1" applyFill="1" applyBorder="1" applyAlignment="1">
      <alignment horizontal="right" vertical="center"/>
    </xf>
    <xf numFmtId="164" fontId="22" fillId="8" borderId="1" xfId="0" applyNumberFormat="1" applyFont="1" applyFill="1" applyBorder="1" applyAlignment="1">
      <alignment horizontal="right" vertical="center"/>
    </xf>
    <xf numFmtId="164" fontId="22" fillId="8" borderId="17" xfId="0" applyNumberFormat="1" applyFont="1" applyFill="1" applyBorder="1" applyAlignment="1">
      <alignment horizontal="right" vertical="center"/>
    </xf>
    <xf numFmtId="164" fontId="22" fillId="8" borderId="24" xfId="0" applyNumberFormat="1" applyFont="1" applyFill="1" applyBorder="1" applyAlignment="1">
      <alignment horizontal="right" vertical="center"/>
    </xf>
    <xf numFmtId="164" fontId="22" fillId="8" borderId="36" xfId="0" applyNumberFormat="1" applyFont="1" applyFill="1" applyBorder="1" applyAlignment="1">
      <alignment horizontal="right" vertical="center"/>
    </xf>
    <xf numFmtId="0" fontId="8" fillId="11" borderId="16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8" fillId="11" borderId="17" xfId="0" applyFont="1" applyFill="1" applyBorder="1" applyAlignment="1">
      <alignment horizontal="left" vertical="center" wrapText="1"/>
    </xf>
    <xf numFmtId="0" fontId="8" fillId="5" borderId="16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17" xfId="0" applyFont="1" applyFill="1" applyBorder="1" applyAlignment="1">
      <alignment horizontal="left" vertical="center" wrapText="1"/>
    </xf>
    <xf numFmtId="0" fontId="8" fillId="5" borderId="18" xfId="0" applyFont="1" applyFill="1" applyBorder="1" applyAlignment="1">
      <alignment horizontal="left" vertical="center" wrapText="1"/>
    </xf>
    <xf numFmtId="0" fontId="8" fillId="5" borderId="24" xfId="0" applyFont="1" applyFill="1" applyBorder="1" applyAlignment="1">
      <alignment horizontal="left" vertical="center" wrapText="1"/>
    </xf>
    <xf numFmtId="0" fontId="8" fillId="5" borderId="36" xfId="0" applyFont="1" applyFill="1" applyBorder="1" applyAlignment="1">
      <alignment horizontal="left" vertical="center" wrapText="1"/>
    </xf>
    <xf numFmtId="0" fontId="23" fillId="7" borderId="16" xfId="0" applyFont="1" applyFill="1" applyBorder="1" applyAlignment="1">
      <alignment horizontal="left" vertical="center"/>
    </xf>
    <xf numFmtId="0" fontId="23" fillId="7" borderId="1" xfId="0" applyFont="1" applyFill="1" applyBorder="1" applyAlignment="1">
      <alignment horizontal="left" vertical="center"/>
    </xf>
    <xf numFmtId="0" fontId="23" fillId="7" borderId="17" xfId="0" applyFont="1" applyFill="1" applyBorder="1" applyAlignment="1">
      <alignment horizontal="left" vertical="center"/>
    </xf>
    <xf numFmtId="0" fontId="23" fillId="5" borderId="16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left" vertical="center"/>
    </xf>
    <xf numFmtId="0" fontId="23" fillId="5" borderId="17" xfId="0" applyFont="1" applyFill="1" applyBorder="1" applyAlignment="1">
      <alignment horizontal="left" vertical="center"/>
    </xf>
    <xf numFmtId="0" fontId="23" fillId="7" borderId="18" xfId="0" applyFont="1" applyFill="1" applyBorder="1" applyAlignment="1">
      <alignment horizontal="left" vertical="center"/>
    </xf>
    <xf numFmtId="0" fontId="23" fillId="7" borderId="24" xfId="0" applyFont="1" applyFill="1" applyBorder="1" applyAlignment="1">
      <alignment horizontal="left" vertical="center"/>
    </xf>
    <xf numFmtId="0" fontId="23" fillId="7" borderId="36" xfId="0" applyFont="1" applyFill="1" applyBorder="1" applyAlignment="1">
      <alignment horizontal="left" vertical="center"/>
    </xf>
    <xf numFmtId="0" fontId="26" fillId="2" borderId="5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  <xf numFmtId="0" fontId="26" fillId="2" borderId="11" xfId="0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34" xfId="0" applyFont="1" applyFill="1" applyBorder="1" applyAlignment="1">
      <alignment horizontal="center" vertical="center"/>
    </xf>
    <xf numFmtId="0" fontId="6" fillId="9" borderId="3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7030A0"/>
      <rgbColor rgb="FFFFF2CC"/>
      <rgbColor rgb="FFE2D9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4B942"/>
      <rgbColor rgb="FFC9A227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B1:E32"/>
  <sheetViews>
    <sheetView showGridLines="0" zoomScaleNormal="100" workbookViewId="0">
      <selection activeCell="D45" sqref="D45"/>
    </sheetView>
  </sheetViews>
  <sheetFormatPr baseColWidth="10" defaultColWidth="8.7109375" defaultRowHeight="15" x14ac:dyDescent="0.25"/>
  <cols>
    <col min="1" max="1" width="3" customWidth="1"/>
    <col min="2" max="3" width="30" customWidth="1"/>
    <col min="4" max="5" width="25" customWidth="1"/>
    <col min="6" max="6" width="3" customWidth="1"/>
  </cols>
  <sheetData>
    <row r="1" spans="2:5" ht="15.75" thickBot="1" x14ac:dyDescent="0.3"/>
    <row r="2" spans="2:5" x14ac:dyDescent="0.25">
      <c r="B2" s="107" t="s">
        <v>384</v>
      </c>
      <c r="C2" s="108"/>
      <c r="D2" s="108"/>
      <c r="E2" s="109"/>
    </row>
    <row r="3" spans="2:5" x14ac:dyDescent="0.25">
      <c r="B3" s="110"/>
      <c r="C3" s="111"/>
      <c r="D3" s="111"/>
      <c r="E3" s="112"/>
    </row>
    <row r="4" spans="2:5" x14ac:dyDescent="0.25">
      <c r="B4" s="110"/>
      <c r="C4" s="111"/>
      <c r="D4" s="111"/>
      <c r="E4" s="112"/>
    </row>
    <row r="5" spans="2:5" x14ac:dyDescent="0.25">
      <c r="B5" s="110"/>
      <c r="C5" s="111"/>
      <c r="D5" s="111"/>
      <c r="E5" s="112"/>
    </row>
    <row r="6" spans="2:5" x14ac:dyDescent="0.25">
      <c r="B6" s="110"/>
      <c r="C6" s="111"/>
      <c r="D6" s="111"/>
      <c r="E6" s="112"/>
    </row>
    <row r="7" spans="2:5" ht="15.75" thickBot="1" x14ac:dyDescent="0.3">
      <c r="B7" s="113"/>
      <c r="C7" s="114"/>
      <c r="D7" s="114"/>
      <c r="E7" s="115"/>
    </row>
    <row r="8" spans="2:5" ht="17.25" thickBot="1" x14ac:dyDescent="0.3">
      <c r="B8" s="116" t="s">
        <v>0</v>
      </c>
      <c r="C8" s="117"/>
      <c r="D8" s="117"/>
      <c r="E8" s="118"/>
    </row>
    <row r="9" spans="2:5" ht="15.75" thickBot="1" x14ac:dyDescent="0.3"/>
    <row r="10" spans="2:5" ht="15.75" thickBot="1" x14ac:dyDescent="0.3">
      <c r="B10" s="44" t="s">
        <v>1</v>
      </c>
      <c r="C10" s="119" t="s">
        <v>2</v>
      </c>
      <c r="D10" s="119"/>
      <c r="E10" s="120"/>
    </row>
    <row r="11" spans="2:5" x14ac:dyDescent="0.25">
      <c r="B11" s="45" t="s">
        <v>3</v>
      </c>
      <c r="C11" s="121" t="s">
        <v>385</v>
      </c>
      <c r="D11" s="122"/>
      <c r="E11" s="123"/>
    </row>
    <row r="12" spans="2:5" x14ac:dyDescent="0.25">
      <c r="B12" s="46" t="s">
        <v>4</v>
      </c>
      <c r="C12" s="104" t="s">
        <v>5</v>
      </c>
      <c r="D12" s="105"/>
      <c r="E12" s="106"/>
    </row>
    <row r="13" spans="2:5" x14ac:dyDescent="0.25">
      <c r="B13" s="46" t="s">
        <v>6</v>
      </c>
      <c r="C13" s="104" t="s">
        <v>7</v>
      </c>
      <c r="D13" s="105"/>
      <c r="E13" s="106"/>
    </row>
    <row r="14" spans="2:5" x14ac:dyDescent="0.25">
      <c r="B14" s="46" t="s">
        <v>8</v>
      </c>
      <c r="C14" s="104" t="s">
        <v>9</v>
      </c>
      <c r="D14" s="105"/>
      <c r="E14" s="106"/>
    </row>
    <row r="15" spans="2:5" x14ac:dyDescent="0.25">
      <c r="B15" s="46" t="s">
        <v>10</v>
      </c>
      <c r="C15" s="104" t="s">
        <v>11</v>
      </c>
      <c r="D15" s="105"/>
      <c r="E15" s="106"/>
    </row>
    <row r="16" spans="2:5" x14ac:dyDescent="0.25">
      <c r="B16" s="46" t="s">
        <v>12</v>
      </c>
      <c r="C16" s="104" t="s">
        <v>13</v>
      </c>
      <c r="D16" s="105"/>
      <c r="E16" s="106"/>
    </row>
    <row r="17" spans="2:5" ht="15.75" thickBot="1" x14ac:dyDescent="0.3">
      <c r="B17" s="47" t="s">
        <v>14</v>
      </c>
      <c r="C17" s="128" t="s">
        <v>15</v>
      </c>
      <c r="D17" s="128"/>
      <c r="E17" s="129"/>
    </row>
    <row r="18" spans="2:5" ht="15.75" thickBot="1" x14ac:dyDescent="0.3"/>
    <row r="19" spans="2:5" x14ac:dyDescent="0.25">
      <c r="B19" s="133" t="s">
        <v>16</v>
      </c>
      <c r="C19" s="134"/>
      <c r="D19" s="134"/>
      <c r="E19" s="135"/>
    </row>
    <row r="20" spans="2:5" x14ac:dyDescent="0.25">
      <c r="B20" s="41" t="s">
        <v>17</v>
      </c>
      <c r="C20" s="126" t="s">
        <v>18</v>
      </c>
      <c r="D20" s="126"/>
      <c r="E20" s="127"/>
    </row>
    <row r="21" spans="2:5" x14ac:dyDescent="0.25">
      <c r="B21" s="42" t="s">
        <v>19</v>
      </c>
      <c r="C21" s="124" t="s">
        <v>20</v>
      </c>
      <c r="D21" s="124"/>
      <c r="E21" s="125"/>
    </row>
    <row r="22" spans="2:5" x14ac:dyDescent="0.25">
      <c r="B22" s="41" t="s">
        <v>21</v>
      </c>
      <c r="C22" s="126" t="s">
        <v>22</v>
      </c>
      <c r="D22" s="126"/>
      <c r="E22" s="127"/>
    </row>
    <row r="23" spans="2:5" x14ac:dyDescent="0.25">
      <c r="B23" s="42" t="s">
        <v>23</v>
      </c>
      <c r="C23" s="124" t="s">
        <v>24</v>
      </c>
      <c r="D23" s="124"/>
      <c r="E23" s="125"/>
    </row>
    <row r="24" spans="2:5" x14ac:dyDescent="0.25">
      <c r="B24" s="41" t="s">
        <v>25</v>
      </c>
      <c r="C24" s="126" t="s">
        <v>26</v>
      </c>
      <c r="D24" s="126"/>
      <c r="E24" s="127"/>
    </row>
    <row r="25" spans="2:5" x14ac:dyDescent="0.25">
      <c r="B25" s="42" t="s">
        <v>27</v>
      </c>
      <c r="C25" s="124" t="s">
        <v>28</v>
      </c>
      <c r="D25" s="124"/>
      <c r="E25" s="125"/>
    </row>
    <row r="26" spans="2:5" x14ac:dyDescent="0.25">
      <c r="B26" s="41" t="s">
        <v>29</v>
      </c>
      <c r="C26" s="126" t="s">
        <v>30</v>
      </c>
      <c r="D26" s="126"/>
      <c r="E26" s="127"/>
    </row>
    <row r="27" spans="2:5" x14ac:dyDescent="0.25">
      <c r="B27" s="42" t="s">
        <v>31</v>
      </c>
      <c r="C27" s="124" t="s">
        <v>32</v>
      </c>
      <c r="D27" s="124"/>
      <c r="E27" s="125"/>
    </row>
    <row r="28" spans="2:5" x14ac:dyDescent="0.25">
      <c r="B28" s="41" t="s">
        <v>33</v>
      </c>
      <c r="C28" s="126" t="s">
        <v>34</v>
      </c>
      <c r="D28" s="126"/>
      <c r="E28" s="127"/>
    </row>
    <row r="29" spans="2:5" x14ac:dyDescent="0.25">
      <c r="B29" s="42" t="s">
        <v>35</v>
      </c>
      <c r="C29" s="124" t="s">
        <v>36</v>
      </c>
      <c r="D29" s="124"/>
      <c r="E29" s="125"/>
    </row>
    <row r="30" spans="2:5" x14ac:dyDescent="0.25">
      <c r="B30" s="41" t="s">
        <v>37</v>
      </c>
      <c r="C30" s="126" t="s">
        <v>38</v>
      </c>
      <c r="D30" s="126"/>
      <c r="E30" s="127"/>
    </row>
    <row r="31" spans="2:5" x14ac:dyDescent="0.25">
      <c r="B31" s="42" t="s">
        <v>39</v>
      </c>
      <c r="C31" s="124" t="s">
        <v>40</v>
      </c>
      <c r="D31" s="124"/>
      <c r="E31" s="125"/>
    </row>
    <row r="32" spans="2:5" ht="15.75" thickBot="1" x14ac:dyDescent="0.3">
      <c r="B32" s="43" t="s">
        <v>41</v>
      </c>
      <c r="C32" s="130" t="s">
        <v>42</v>
      </c>
      <c r="D32" s="131"/>
      <c r="E32" s="132"/>
    </row>
  </sheetData>
  <mergeCells count="24">
    <mergeCell ref="C29:E29"/>
    <mergeCell ref="C30:E30"/>
    <mergeCell ref="C31:E31"/>
    <mergeCell ref="C17:E17"/>
    <mergeCell ref="C32:E32"/>
    <mergeCell ref="B19:E19"/>
    <mergeCell ref="C24:E24"/>
    <mergeCell ref="C25:E25"/>
    <mergeCell ref="C26:E26"/>
    <mergeCell ref="C27:E27"/>
    <mergeCell ref="C28:E28"/>
    <mergeCell ref="C20:E20"/>
    <mergeCell ref="C21:E21"/>
    <mergeCell ref="C22:E22"/>
    <mergeCell ref="C23:E23"/>
    <mergeCell ref="C13:E13"/>
    <mergeCell ref="C14:E14"/>
    <mergeCell ref="C15:E15"/>
    <mergeCell ref="C16:E16"/>
    <mergeCell ref="B2:E7"/>
    <mergeCell ref="B8:E8"/>
    <mergeCell ref="C10:E10"/>
    <mergeCell ref="C11:E11"/>
    <mergeCell ref="C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B1:D26"/>
  <sheetViews>
    <sheetView showGridLines="0" zoomScaleNormal="100" workbookViewId="0">
      <selection activeCell="D44" sqref="D44"/>
    </sheetView>
  </sheetViews>
  <sheetFormatPr baseColWidth="10" defaultColWidth="8.7109375" defaultRowHeight="15" x14ac:dyDescent="0.25"/>
  <cols>
    <col min="1" max="1" width="4" customWidth="1"/>
    <col min="2" max="2" width="40" customWidth="1"/>
    <col min="3" max="3" width="25" customWidth="1"/>
    <col min="4" max="4" width="26.7109375" bestFit="1" customWidth="1"/>
    <col min="5" max="5" width="4" customWidth="1"/>
  </cols>
  <sheetData>
    <row r="1" spans="2:4" ht="17.25" customHeight="1" thickBot="1" x14ac:dyDescent="0.3">
      <c r="B1" s="136" t="s">
        <v>43</v>
      </c>
      <c r="C1" s="137"/>
      <c r="D1" s="138"/>
    </row>
    <row r="2" spans="2:4" ht="15" customHeight="1" thickBot="1" x14ac:dyDescent="0.3">
      <c r="B2" s="139" t="s">
        <v>44</v>
      </c>
      <c r="C2" s="140"/>
      <c r="D2" s="141"/>
    </row>
    <row r="3" spans="2:4" ht="15.75" thickBot="1" x14ac:dyDescent="0.3"/>
    <row r="4" spans="2:4" ht="15" customHeight="1" x14ac:dyDescent="0.25">
      <c r="B4" s="142" t="s">
        <v>45</v>
      </c>
      <c r="C4" s="143"/>
      <c r="D4" s="144"/>
    </row>
    <row r="5" spans="2:4" ht="15" customHeight="1" x14ac:dyDescent="0.25">
      <c r="B5" s="59" t="s">
        <v>46</v>
      </c>
      <c r="C5" s="5">
        <v>8</v>
      </c>
      <c r="D5" s="64" t="s">
        <v>47</v>
      </c>
    </row>
    <row r="6" spans="2:4" ht="15" customHeight="1" x14ac:dyDescent="0.25">
      <c r="B6" s="60" t="s">
        <v>48</v>
      </c>
      <c r="C6" s="7">
        <v>40</v>
      </c>
      <c r="D6" s="65" t="s">
        <v>49</v>
      </c>
    </row>
    <row r="7" spans="2:4" ht="15" customHeight="1" x14ac:dyDescent="0.25">
      <c r="B7" s="59" t="s">
        <v>50</v>
      </c>
      <c r="C7" s="5">
        <v>4.33</v>
      </c>
      <c r="D7" s="64" t="s">
        <v>51</v>
      </c>
    </row>
    <row r="8" spans="2:4" ht="15" customHeight="1" x14ac:dyDescent="0.25">
      <c r="B8" s="60" t="s">
        <v>52</v>
      </c>
      <c r="C8" s="7">
        <v>173</v>
      </c>
      <c r="D8" s="65" t="s">
        <v>53</v>
      </c>
    </row>
    <row r="9" spans="2:4" ht="15" customHeight="1" x14ac:dyDescent="0.25">
      <c r="B9" s="59" t="s">
        <v>54</v>
      </c>
      <c r="C9" s="9">
        <v>0.3</v>
      </c>
      <c r="D9" s="64" t="s">
        <v>55</v>
      </c>
    </row>
    <row r="10" spans="2:4" ht="15" customHeight="1" x14ac:dyDescent="0.25">
      <c r="B10" s="60" t="s">
        <v>56</v>
      </c>
      <c r="C10" s="10">
        <v>0.1</v>
      </c>
      <c r="D10" s="65" t="s">
        <v>57</v>
      </c>
    </row>
    <row r="11" spans="2:4" ht="15" customHeight="1" x14ac:dyDescent="0.25">
      <c r="B11" s="59" t="s">
        <v>58</v>
      </c>
      <c r="C11" s="9">
        <v>0.19</v>
      </c>
      <c r="D11" s="64" t="s">
        <v>59</v>
      </c>
    </row>
    <row r="12" spans="2:4" ht="15" customHeight="1" thickBot="1" x14ac:dyDescent="0.3">
      <c r="B12" s="91" t="s">
        <v>60</v>
      </c>
      <c r="C12" s="92">
        <v>0.52</v>
      </c>
      <c r="D12" s="93" t="s">
        <v>61</v>
      </c>
    </row>
    <row r="13" spans="2:4" ht="15.75" thickBot="1" x14ac:dyDescent="0.3"/>
    <row r="14" spans="2:4" ht="15" customHeight="1" x14ac:dyDescent="0.25">
      <c r="B14" s="142" t="s">
        <v>62</v>
      </c>
      <c r="C14" s="143"/>
      <c r="D14" s="144"/>
    </row>
    <row r="15" spans="2:4" ht="15" customHeight="1" x14ac:dyDescent="0.25">
      <c r="B15" s="57" t="s">
        <v>63</v>
      </c>
      <c r="C15" s="11" t="s">
        <v>64</v>
      </c>
      <c r="D15" s="58" t="s">
        <v>65</v>
      </c>
    </row>
    <row r="16" spans="2:4" ht="15" customHeight="1" x14ac:dyDescent="0.25">
      <c r="B16" s="72" t="s">
        <v>66</v>
      </c>
      <c r="C16" s="13">
        <v>8.5000000000000006E-2</v>
      </c>
      <c r="D16" s="73" t="s">
        <v>387</v>
      </c>
    </row>
    <row r="17" spans="2:4" ht="15" customHeight="1" x14ac:dyDescent="0.25">
      <c r="B17" s="60" t="s">
        <v>67</v>
      </c>
      <c r="C17" s="14">
        <v>0.12</v>
      </c>
      <c r="D17" s="65" t="s">
        <v>387</v>
      </c>
    </row>
    <row r="18" spans="2:4" ht="15" customHeight="1" x14ac:dyDescent="0.25">
      <c r="B18" s="72" t="s">
        <v>68</v>
      </c>
      <c r="C18" s="13">
        <v>5.2199999999999998E-3</v>
      </c>
      <c r="D18" s="73" t="s">
        <v>388</v>
      </c>
    </row>
    <row r="19" spans="2:4" ht="15" customHeight="1" x14ac:dyDescent="0.25">
      <c r="B19" s="60" t="s">
        <v>69</v>
      </c>
      <c r="C19" s="14">
        <v>0.04</v>
      </c>
      <c r="D19" s="65" t="s">
        <v>389</v>
      </c>
    </row>
    <row r="20" spans="2:4" ht="15" customHeight="1" x14ac:dyDescent="0.25">
      <c r="B20" s="72" t="s">
        <v>70</v>
      </c>
      <c r="C20" s="13">
        <v>8.3299999999999999E-2</v>
      </c>
      <c r="D20" s="73" t="s">
        <v>390</v>
      </c>
    </row>
    <row r="21" spans="2:4" ht="15" customHeight="1" x14ac:dyDescent="0.25">
      <c r="B21" s="60" t="s">
        <v>71</v>
      </c>
      <c r="C21" s="14">
        <v>0.01</v>
      </c>
      <c r="D21" s="65" t="s">
        <v>391</v>
      </c>
    </row>
    <row r="22" spans="2:4" ht="15" customHeight="1" x14ac:dyDescent="0.25">
      <c r="B22" s="72" t="s">
        <v>72</v>
      </c>
      <c r="C22" s="13">
        <v>8.3299999999999999E-2</v>
      </c>
      <c r="D22" s="73" t="s">
        <v>392</v>
      </c>
    </row>
    <row r="23" spans="2:4" ht="15" customHeight="1" x14ac:dyDescent="0.25">
      <c r="B23" s="60" t="s">
        <v>73</v>
      </c>
      <c r="C23" s="14">
        <v>4.1700000000000001E-2</v>
      </c>
      <c r="D23" s="65" t="s">
        <v>393</v>
      </c>
    </row>
    <row r="24" spans="2:4" ht="15" customHeight="1" x14ac:dyDescent="0.25">
      <c r="B24" s="72" t="s">
        <v>74</v>
      </c>
      <c r="C24" s="13">
        <v>0.02</v>
      </c>
      <c r="D24" s="73" t="s">
        <v>394</v>
      </c>
    </row>
    <row r="25" spans="2:4" ht="15" customHeight="1" x14ac:dyDescent="0.25">
      <c r="B25" s="60" t="s">
        <v>75</v>
      </c>
      <c r="C25" s="14">
        <v>0.03</v>
      </c>
      <c r="D25" s="65" t="s">
        <v>395</v>
      </c>
    </row>
    <row r="26" spans="2:4" ht="15" customHeight="1" thickBot="1" x14ac:dyDescent="0.3">
      <c r="B26" s="94" t="s">
        <v>76</v>
      </c>
      <c r="C26" s="145">
        <f>SUM(C16:C25)</f>
        <v>0.51851999999999998</v>
      </c>
      <c r="D26" s="146"/>
    </row>
  </sheetData>
  <mergeCells count="5">
    <mergeCell ref="B1:D1"/>
    <mergeCell ref="B2:D2"/>
    <mergeCell ref="B4:D4"/>
    <mergeCell ref="B14:D14"/>
    <mergeCell ref="C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8168889431442"/>
  </sheetPr>
  <dimension ref="B1:G1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34" sqref="L34"/>
    </sheetView>
  </sheetViews>
  <sheetFormatPr baseColWidth="10" defaultColWidth="8.7109375" defaultRowHeight="15" x14ac:dyDescent="0.25"/>
  <cols>
    <col min="1" max="1" width="4" customWidth="1"/>
    <col min="2" max="2" width="32" customWidth="1"/>
    <col min="3" max="3" width="12" customWidth="1"/>
    <col min="4" max="4" width="16" customWidth="1"/>
    <col min="5" max="5" width="14" customWidth="1"/>
    <col min="6" max="7" width="18" customWidth="1"/>
    <col min="8" max="8" width="4" customWidth="1"/>
  </cols>
  <sheetData>
    <row r="1" spans="2:7" ht="15.75" customHeight="1" x14ac:dyDescent="0.25">
      <c r="B1" s="147" t="s">
        <v>77</v>
      </c>
      <c r="C1" s="147"/>
      <c r="D1" s="147"/>
      <c r="E1" s="147"/>
      <c r="F1" s="147"/>
      <c r="G1" s="147"/>
    </row>
    <row r="2" spans="2:7" ht="15" customHeight="1" x14ac:dyDescent="0.25">
      <c r="B2" s="148" t="s">
        <v>78</v>
      </c>
      <c r="C2" s="148"/>
      <c r="D2" s="148"/>
      <c r="E2" s="148"/>
      <c r="F2" s="148"/>
      <c r="G2" s="148"/>
    </row>
    <row r="4" spans="2:7" ht="34.5" customHeight="1" x14ac:dyDescent="0.25">
      <c r="B4" s="15" t="s">
        <v>79</v>
      </c>
      <c r="C4" s="15" t="s">
        <v>80</v>
      </c>
      <c r="D4" s="15" t="s">
        <v>81</v>
      </c>
      <c r="E4" s="15" t="s">
        <v>82</v>
      </c>
      <c r="F4" s="15" t="s">
        <v>83</v>
      </c>
      <c r="G4" s="15" t="s">
        <v>84</v>
      </c>
    </row>
    <row r="5" spans="2:7" ht="15" customHeight="1" x14ac:dyDescent="0.25">
      <c r="B5" s="4" t="s">
        <v>85</v>
      </c>
      <c r="C5" s="16">
        <v>1</v>
      </c>
      <c r="D5" s="17">
        <v>8000000</v>
      </c>
      <c r="E5" s="16">
        <v>8</v>
      </c>
      <c r="F5" s="18">
        <f t="shared" ref="F5:F14" si="0">C5*D5*E5</f>
        <v>64000000</v>
      </c>
      <c r="G5" s="18">
        <f>F5*SUPUESTOS!C12</f>
        <v>33280000</v>
      </c>
    </row>
    <row r="6" spans="2:7" ht="15" customHeight="1" x14ac:dyDescent="0.25">
      <c r="B6" s="1" t="s">
        <v>86</v>
      </c>
      <c r="C6" s="19">
        <v>1</v>
      </c>
      <c r="D6" s="20">
        <v>5500000</v>
      </c>
      <c r="E6" s="19">
        <v>2</v>
      </c>
      <c r="F6" s="21">
        <f t="shared" si="0"/>
        <v>11000000</v>
      </c>
      <c r="G6" s="21">
        <f>F6*SUPUESTOS!C12</f>
        <v>5720000</v>
      </c>
    </row>
    <row r="7" spans="2:7" ht="15" customHeight="1" x14ac:dyDescent="0.25">
      <c r="B7" s="4" t="s">
        <v>87</v>
      </c>
      <c r="C7" s="16">
        <v>1</v>
      </c>
      <c r="D7" s="17">
        <v>7000000</v>
      </c>
      <c r="E7" s="16">
        <v>3</v>
      </c>
      <c r="F7" s="18">
        <f t="shared" si="0"/>
        <v>21000000</v>
      </c>
      <c r="G7" s="18">
        <f>F7*SUPUESTOS!C12</f>
        <v>10920000</v>
      </c>
    </row>
    <row r="8" spans="2:7" ht="15" customHeight="1" x14ac:dyDescent="0.25">
      <c r="B8" s="1" t="s">
        <v>88</v>
      </c>
      <c r="C8" s="19">
        <v>2</v>
      </c>
      <c r="D8" s="20">
        <v>5500000</v>
      </c>
      <c r="E8" s="19">
        <v>5</v>
      </c>
      <c r="F8" s="21">
        <f t="shared" si="0"/>
        <v>55000000</v>
      </c>
      <c r="G8" s="21">
        <f>F8*SUPUESTOS!C12</f>
        <v>28600000</v>
      </c>
    </row>
    <row r="9" spans="2:7" ht="15" customHeight="1" x14ac:dyDescent="0.25">
      <c r="B9" s="4" t="s">
        <v>89</v>
      </c>
      <c r="C9" s="16">
        <v>1</v>
      </c>
      <c r="D9" s="17">
        <v>5000000</v>
      </c>
      <c r="E9" s="16">
        <v>5</v>
      </c>
      <c r="F9" s="18">
        <f t="shared" si="0"/>
        <v>25000000</v>
      </c>
      <c r="G9" s="18">
        <f>F9*SUPUESTOS!C12</f>
        <v>13000000</v>
      </c>
    </row>
    <row r="10" spans="2:7" ht="15" customHeight="1" x14ac:dyDescent="0.25">
      <c r="B10" s="1" t="s">
        <v>90</v>
      </c>
      <c r="C10" s="19">
        <v>1</v>
      </c>
      <c r="D10" s="20">
        <v>4500000</v>
      </c>
      <c r="E10" s="19">
        <v>2</v>
      </c>
      <c r="F10" s="21">
        <f t="shared" si="0"/>
        <v>9000000</v>
      </c>
      <c r="G10" s="21">
        <f>F10*SUPUESTOS!C12</f>
        <v>4680000</v>
      </c>
    </row>
    <row r="11" spans="2:7" ht="15" customHeight="1" x14ac:dyDescent="0.25">
      <c r="B11" s="4" t="s">
        <v>91</v>
      </c>
      <c r="C11" s="16">
        <v>1</v>
      </c>
      <c r="D11" s="17">
        <v>4500000</v>
      </c>
      <c r="E11" s="16">
        <v>2</v>
      </c>
      <c r="F11" s="18">
        <f t="shared" si="0"/>
        <v>9000000</v>
      </c>
      <c r="G11" s="18">
        <f>F11*SUPUESTOS!C12</f>
        <v>4680000</v>
      </c>
    </row>
    <row r="12" spans="2:7" ht="15" customHeight="1" x14ac:dyDescent="0.25">
      <c r="B12" s="1" t="s">
        <v>92</v>
      </c>
      <c r="C12" s="19">
        <v>1</v>
      </c>
      <c r="D12" s="20">
        <v>5000000</v>
      </c>
      <c r="E12" s="19">
        <v>2</v>
      </c>
      <c r="F12" s="21">
        <f t="shared" si="0"/>
        <v>10000000</v>
      </c>
      <c r="G12" s="21">
        <f>F12*SUPUESTOS!C12</f>
        <v>5200000</v>
      </c>
    </row>
    <row r="13" spans="2:7" ht="15" customHeight="1" x14ac:dyDescent="0.25">
      <c r="B13" s="4" t="s">
        <v>93</v>
      </c>
      <c r="C13" s="16">
        <v>1</v>
      </c>
      <c r="D13" s="17">
        <v>6000000</v>
      </c>
      <c r="E13" s="16">
        <v>3</v>
      </c>
      <c r="F13" s="18">
        <f t="shared" si="0"/>
        <v>18000000</v>
      </c>
      <c r="G13" s="18">
        <f>F13*SUPUESTOS!C12</f>
        <v>9360000</v>
      </c>
    </row>
    <row r="14" spans="2:7" ht="15" customHeight="1" x14ac:dyDescent="0.25">
      <c r="B14" s="1" t="s">
        <v>94</v>
      </c>
      <c r="C14" s="19">
        <v>1</v>
      </c>
      <c r="D14" s="20">
        <v>3500000</v>
      </c>
      <c r="E14" s="19">
        <v>2</v>
      </c>
      <c r="F14" s="21">
        <f t="shared" si="0"/>
        <v>7000000</v>
      </c>
      <c r="G14" s="21">
        <f>F14*SUPUESTOS!C12</f>
        <v>3640000</v>
      </c>
    </row>
    <row r="15" spans="2:7" ht="15" customHeight="1" x14ac:dyDescent="0.25">
      <c r="B15" s="149" t="s">
        <v>95</v>
      </c>
      <c r="C15" s="149"/>
      <c r="D15" s="149"/>
      <c r="E15" s="149"/>
      <c r="F15" s="22">
        <f>SUM(F5:F14)</f>
        <v>229000000</v>
      </c>
      <c r="G15" s="22">
        <f>SUM(G5:G14)</f>
        <v>119080000</v>
      </c>
    </row>
    <row r="16" spans="2:7" ht="15" customHeight="1" x14ac:dyDescent="0.25">
      <c r="B16" s="150" t="s">
        <v>96</v>
      </c>
      <c r="C16" s="150"/>
      <c r="D16" s="150"/>
      <c r="E16" s="150"/>
      <c r="F16" s="151">
        <f>F15+G15</f>
        <v>348080000</v>
      </c>
      <c r="G16" s="151"/>
    </row>
  </sheetData>
  <mergeCells count="5">
    <mergeCell ref="B1:G1"/>
    <mergeCell ref="B2:G2"/>
    <mergeCell ref="B15:E15"/>
    <mergeCell ref="B16:E16"/>
    <mergeCell ref="F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B1:J2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36" sqref="F36"/>
    </sheetView>
  </sheetViews>
  <sheetFormatPr baseColWidth="10" defaultColWidth="8.7109375" defaultRowHeight="15" x14ac:dyDescent="0.25"/>
  <cols>
    <col min="1" max="1" width="3" customWidth="1"/>
    <col min="2" max="2" width="10" customWidth="1"/>
    <col min="3" max="3" width="38" customWidth="1"/>
    <col min="4" max="4" width="28.28515625" bestFit="1" customWidth="1"/>
    <col min="5" max="5" width="14" customWidth="1"/>
    <col min="6" max="6" width="18" customWidth="1"/>
    <col min="7" max="7" width="14" customWidth="1"/>
    <col min="8" max="9" width="18" customWidth="1"/>
    <col min="10" max="10" width="13.42578125" customWidth="1"/>
  </cols>
  <sheetData>
    <row r="1" spans="2:10" ht="15.75" customHeight="1" thickBot="1" x14ac:dyDescent="0.3">
      <c r="B1" s="154" t="s">
        <v>97</v>
      </c>
      <c r="C1" s="155"/>
      <c r="D1" s="155"/>
      <c r="E1" s="155"/>
      <c r="F1" s="155"/>
      <c r="G1" s="155"/>
      <c r="H1" s="155"/>
      <c r="I1" s="155"/>
      <c r="J1" s="156"/>
    </row>
    <row r="2" spans="2:10" ht="15" customHeight="1" thickBot="1" x14ac:dyDescent="0.3">
      <c r="B2" s="157" t="s">
        <v>98</v>
      </c>
      <c r="C2" s="158"/>
      <c r="D2" s="158"/>
      <c r="E2" s="158"/>
      <c r="F2" s="158"/>
      <c r="G2" s="158"/>
      <c r="H2" s="158"/>
      <c r="I2" s="158"/>
      <c r="J2" s="159"/>
    </row>
    <row r="3" spans="2:10" ht="15.75" thickBot="1" x14ac:dyDescent="0.3"/>
    <row r="4" spans="2:10" ht="39.75" customHeight="1" x14ac:dyDescent="0.25">
      <c r="B4" s="48" t="s">
        <v>99</v>
      </c>
      <c r="C4" s="49" t="s">
        <v>100</v>
      </c>
      <c r="D4" s="49" t="s">
        <v>101</v>
      </c>
      <c r="E4" s="49" t="s">
        <v>102</v>
      </c>
      <c r="F4" s="49" t="s">
        <v>103</v>
      </c>
      <c r="G4" s="49" t="s">
        <v>104</v>
      </c>
      <c r="H4" s="49" t="s">
        <v>105</v>
      </c>
      <c r="I4" s="49" t="s">
        <v>106</v>
      </c>
      <c r="J4" s="50" t="s">
        <v>107</v>
      </c>
    </row>
    <row r="5" spans="2:10" ht="15" customHeight="1" x14ac:dyDescent="0.25">
      <c r="B5" s="51" t="s">
        <v>108</v>
      </c>
      <c r="C5" s="4" t="s">
        <v>109</v>
      </c>
      <c r="D5" s="4" t="s">
        <v>86</v>
      </c>
      <c r="E5" s="23">
        <v>336</v>
      </c>
      <c r="F5" s="17">
        <v>31791.91</v>
      </c>
      <c r="G5" s="18">
        <f t="shared" ref="G5:G22" si="0">E5*F5</f>
        <v>10682081.76</v>
      </c>
      <c r="H5" s="23">
        <v>336</v>
      </c>
      <c r="I5" s="17">
        <v>20833</v>
      </c>
      <c r="J5" s="52">
        <f t="shared" ref="J5:J22" si="1">H5*I5</f>
        <v>6999888</v>
      </c>
    </row>
    <row r="6" spans="2:10" ht="15" customHeight="1" x14ac:dyDescent="0.25">
      <c r="B6" s="53" t="s">
        <v>110</v>
      </c>
      <c r="C6" s="1" t="s">
        <v>111</v>
      </c>
      <c r="D6" s="1" t="s">
        <v>87</v>
      </c>
      <c r="E6" s="24">
        <v>168</v>
      </c>
      <c r="F6" s="20">
        <v>40462.43</v>
      </c>
      <c r="G6" s="21">
        <f t="shared" si="0"/>
        <v>6797688.2400000002</v>
      </c>
      <c r="H6" s="24">
        <v>168</v>
      </c>
      <c r="I6" s="20">
        <v>20833</v>
      </c>
      <c r="J6" s="54">
        <f t="shared" si="1"/>
        <v>3499944</v>
      </c>
    </row>
    <row r="7" spans="2:10" ht="15" customHeight="1" x14ac:dyDescent="0.25">
      <c r="B7" s="51" t="s">
        <v>112</v>
      </c>
      <c r="C7" s="4" t="s">
        <v>113</v>
      </c>
      <c r="D7" s="4" t="s">
        <v>92</v>
      </c>
      <c r="E7" s="23">
        <v>168</v>
      </c>
      <c r="F7" s="17">
        <v>28901.73</v>
      </c>
      <c r="G7" s="18">
        <f t="shared" si="0"/>
        <v>4855490.6399999997</v>
      </c>
      <c r="H7" s="23">
        <v>168</v>
      </c>
      <c r="I7" s="17">
        <v>20833</v>
      </c>
      <c r="J7" s="52">
        <f t="shared" si="1"/>
        <v>3499944</v>
      </c>
    </row>
    <row r="8" spans="2:10" ht="15" customHeight="1" x14ac:dyDescent="0.25">
      <c r="B8" s="53" t="s">
        <v>114</v>
      </c>
      <c r="C8" s="1" t="s">
        <v>115</v>
      </c>
      <c r="D8" s="1" t="s">
        <v>90</v>
      </c>
      <c r="E8" s="24">
        <v>168</v>
      </c>
      <c r="F8" s="20">
        <v>26011.56</v>
      </c>
      <c r="G8" s="21">
        <f t="shared" si="0"/>
        <v>4369942.08</v>
      </c>
      <c r="H8" s="24">
        <v>168</v>
      </c>
      <c r="I8" s="20">
        <v>20833</v>
      </c>
      <c r="J8" s="54">
        <f t="shared" si="1"/>
        <v>3499944</v>
      </c>
    </row>
    <row r="9" spans="2:10" ht="15" customHeight="1" x14ac:dyDescent="0.25">
      <c r="B9" s="51" t="s">
        <v>116</v>
      </c>
      <c r="C9" s="4" t="s">
        <v>117</v>
      </c>
      <c r="D9" s="4" t="s">
        <v>88</v>
      </c>
      <c r="E9" s="23">
        <v>336</v>
      </c>
      <c r="F9" s="17">
        <v>31791.91</v>
      </c>
      <c r="G9" s="18">
        <f t="shared" si="0"/>
        <v>10682081.76</v>
      </c>
      <c r="H9" s="23">
        <v>336</v>
      </c>
      <c r="I9" s="17">
        <v>20833</v>
      </c>
      <c r="J9" s="52">
        <f t="shared" si="1"/>
        <v>6999888</v>
      </c>
    </row>
    <row r="10" spans="2:10" ht="15" customHeight="1" x14ac:dyDescent="0.25">
      <c r="B10" s="53" t="s">
        <v>118</v>
      </c>
      <c r="C10" s="1" t="s">
        <v>119</v>
      </c>
      <c r="D10" s="1" t="s">
        <v>88</v>
      </c>
      <c r="E10" s="24">
        <v>336</v>
      </c>
      <c r="F10" s="20">
        <v>31791.91</v>
      </c>
      <c r="G10" s="21">
        <f t="shared" si="0"/>
        <v>10682081.76</v>
      </c>
      <c r="H10" s="24">
        <v>336</v>
      </c>
      <c r="I10" s="20">
        <v>20833</v>
      </c>
      <c r="J10" s="54">
        <f t="shared" si="1"/>
        <v>6999888</v>
      </c>
    </row>
    <row r="11" spans="2:10" ht="15" customHeight="1" x14ac:dyDescent="0.25">
      <c r="B11" s="51" t="s">
        <v>120</v>
      </c>
      <c r="C11" s="4" t="s">
        <v>121</v>
      </c>
      <c r="D11" s="4" t="s">
        <v>88</v>
      </c>
      <c r="E11" s="23">
        <v>168</v>
      </c>
      <c r="F11" s="17">
        <v>31791.91</v>
      </c>
      <c r="G11" s="18">
        <f t="shared" si="0"/>
        <v>5341040.88</v>
      </c>
      <c r="H11" s="23">
        <v>168</v>
      </c>
      <c r="I11" s="17">
        <v>20833</v>
      </c>
      <c r="J11" s="52">
        <f t="shared" si="1"/>
        <v>3499944</v>
      </c>
    </row>
    <row r="12" spans="2:10" ht="15" customHeight="1" x14ac:dyDescent="0.25">
      <c r="B12" s="53" t="s">
        <v>122</v>
      </c>
      <c r="C12" s="1" t="s">
        <v>123</v>
      </c>
      <c r="D12" s="1" t="s">
        <v>89</v>
      </c>
      <c r="E12" s="24">
        <v>168</v>
      </c>
      <c r="F12" s="20">
        <v>28901.73</v>
      </c>
      <c r="G12" s="21">
        <f t="shared" si="0"/>
        <v>4855490.6399999997</v>
      </c>
      <c r="H12" s="24">
        <v>168</v>
      </c>
      <c r="I12" s="20">
        <v>20833</v>
      </c>
      <c r="J12" s="54">
        <f t="shared" si="1"/>
        <v>3499944</v>
      </c>
    </row>
    <row r="13" spans="2:10" ht="15" customHeight="1" x14ac:dyDescent="0.25">
      <c r="B13" s="51" t="s">
        <v>124</v>
      </c>
      <c r="C13" s="4" t="s">
        <v>125</v>
      </c>
      <c r="D13" s="4" t="s">
        <v>93</v>
      </c>
      <c r="E13" s="23">
        <v>252</v>
      </c>
      <c r="F13" s="17">
        <v>34682.080000000002</v>
      </c>
      <c r="G13" s="18">
        <f t="shared" si="0"/>
        <v>8739884.1600000001</v>
      </c>
      <c r="H13" s="23">
        <v>252</v>
      </c>
      <c r="I13" s="17">
        <v>20833</v>
      </c>
      <c r="J13" s="52">
        <f t="shared" si="1"/>
        <v>5249916</v>
      </c>
    </row>
    <row r="14" spans="2:10" ht="15" customHeight="1" x14ac:dyDescent="0.25">
      <c r="B14" s="53" t="s">
        <v>126</v>
      </c>
      <c r="C14" s="1" t="s">
        <v>127</v>
      </c>
      <c r="D14" s="1" t="s">
        <v>93</v>
      </c>
      <c r="E14" s="24">
        <v>168</v>
      </c>
      <c r="F14" s="20">
        <v>34682.080000000002</v>
      </c>
      <c r="G14" s="21">
        <f t="shared" si="0"/>
        <v>5826589.4400000004</v>
      </c>
      <c r="H14" s="24">
        <v>168</v>
      </c>
      <c r="I14" s="20">
        <v>20833</v>
      </c>
      <c r="J14" s="54">
        <f t="shared" si="1"/>
        <v>3499944</v>
      </c>
    </row>
    <row r="15" spans="2:10" ht="15" customHeight="1" x14ac:dyDescent="0.25">
      <c r="B15" s="51" t="s">
        <v>128</v>
      </c>
      <c r="C15" s="4" t="s">
        <v>129</v>
      </c>
      <c r="D15" s="4" t="s">
        <v>91</v>
      </c>
      <c r="E15" s="23">
        <v>168</v>
      </c>
      <c r="F15" s="17">
        <v>26011.56</v>
      </c>
      <c r="G15" s="18">
        <f t="shared" si="0"/>
        <v>4369942.08</v>
      </c>
      <c r="H15" s="23">
        <v>168</v>
      </c>
      <c r="I15" s="17">
        <v>20833</v>
      </c>
      <c r="J15" s="52">
        <f t="shared" si="1"/>
        <v>3499944</v>
      </c>
    </row>
    <row r="16" spans="2:10" ht="15" customHeight="1" x14ac:dyDescent="0.25">
      <c r="B16" s="53" t="s">
        <v>130</v>
      </c>
      <c r="C16" s="1" t="s">
        <v>131</v>
      </c>
      <c r="D16" s="1" t="s">
        <v>91</v>
      </c>
      <c r="E16" s="24">
        <v>84</v>
      </c>
      <c r="F16" s="20">
        <v>26011.56</v>
      </c>
      <c r="G16" s="21">
        <f t="shared" si="0"/>
        <v>2184971.04</v>
      </c>
      <c r="H16" s="24">
        <v>84</v>
      </c>
      <c r="I16" s="20">
        <v>20833</v>
      </c>
      <c r="J16" s="54">
        <f t="shared" si="1"/>
        <v>1749972</v>
      </c>
    </row>
    <row r="17" spans="2:10" ht="15" customHeight="1" x14ac:dyDescent="0.25">
      <c r="B17" s="51" t="s">
        <v>132</v>
      </c>
      <c r="C17" s="4" t="s">
        <v>133</v>
      </c>
      <c r="D17" s="4" t="s">
        <v>87</v>
      </c>
      <c r="E17" s="23">
        <v>84</v>
      </c>
      <c r="F17" s="17">
        <v>40462.43</v>
      </c>
      <c r="G17" s="18">
        <f t="shared" si="0"/>
        <v>3398844.12</v>
      </c>
      <c r="H17" s="23">
        <v>84</v>
      </c>
      <c r="I17" s="17">
        <v>20833</v>
      </c>
      <c r="J17" s="52">
        <f t="shared" si="1"/>
        <v>1749972</v>
      </c>
    </row>
    <row r="18" spans="2:10" ht="15" customHeight="1" x14ac:dyDescent="0.25">
      <c r="B18" s="53" t="s">
        <v>134</v>
      </c>
      <c r="C18" s="1" t="s">
        <v>135</v>
      </c>
      <c r="D18" s="1" t="s">
        <v>94</v>
      </c>
      <c r="E18" s="24">
        <v>168</v>
      </c>
      <c r="F18" s="20">
        <v>20231.21</v>
      </c>
      <c r="G18" s="21">
        <f t="shared" si="0"/>
        <v>3398843.28</v>
      </c>
      <c r="H18" s="24">
        <v>168</v>
      </c>
      <c r="I18" s="20">
        <v>20833</v>
      </c>
      <c r="J18" s="54">
        <f t="shared" si="1"/>
        <v>3499944</v>
      </c>
    </row>
    <row r="19" spans="2:10" ht="15" customHeight="1" x14ac:dyDescent="0.25">
      <c r="B19" s="51" t="s">
        <v>136</v>
      </c>
      <c r="C19" s="4" t="s">
        <v>137</v>
      </c>
      <c r="D19" s="4" t="s">
        <v>85</v>
      </c>
      <c r="E19" s="23">
        <v>84</v>
      </c>
      <c r="F19" s="17">
        <v>46242.77</v>
      </c>
      <c r="G19" s="18">
        <f t="shared" si="0"/>
        <v>3884392.6799999997</v>
      </c>
      <c r="H19" s="23">
        <v>84</v>
      </c>
      <c r="I19" s="17">
        <v>20833</v>
      </c>
      <c r="J19" s="52">
        <f t="shared" si="1"/>
        <v>1749972</v>
      </c>
    </row>
    <row r="20" spans="2:10" ht="15" customHeight="1" x14ac:dyDescent="0.25">
      <c r="B20" s="53" t="s">
        <v>138</v>
      </c>
      <c r="C20" s="1" t="s">
        <v>139</v>
      </c>
      <c r="D20" s="1" t="s">
        <v>86</v>
      </c>
      <c r="E20" s="24">
        <v>84</v>
      </c>
      <c r="F20" s="20">
        <v>31791.91</v>
      </c>
      <c r="G20" s="21">
        <f t="shared" si="0"/>
        <v>2670520.44</v>
      </c>
      <c r="H20" s="24">
        <v>84</v>
      </c>
      <c r="I20" s="20">
        <v>20833</v>
      </c>
      <c r="J20" s="54">
        <f t="shared" si="1"/>
        <v>1749972</v>
      </c>
    </row>
    <row r="21" spans="2:10" ht="15" customHeight="1" x14ac:dyDescent="0.25">
      <c r="B21" s="51" t="s">
        <v>140</v>
      </c>
      <c r="C21" s="4" t="s">
        <v>141</v>
      </c>
      <c r="D21" s="4" t="s">
        <v>85</v>
      </c>
      <c r="E21" s="23">
        <v>504</v>
      </c>
      <c r="F21" s="17">
        <v>46242.77</v>
      </c>
      <c r="G21" s="18">
        <f t="shared" si="0"/>
        <v>23306356.079999998</v>
      </c>
      <c r="H21" s="23">
        <v>504</v>
      </c>
      <c r="I21" s="17">
        <v>20833</v>
      </c>
      <c r="J21" s="52">
        <f t="shared" si="1"/>
        <v>10499832</v>
      </c>
    </row>
    <row r="22" spans="2:10" ht="15" customHeight="1" x14ac:dyDescent="0.25">
      <c r="B22" s="53" t="s">
        <v>142</v>
      </c>
      <c r="C22" s="1" t="s">
        <v>143</v>
      </c>
      <c r="D22" s="1" t="s">
        <v>85</v>
      </c>
      <c r="E22" s="24">
        <v>84</v>
      </c>
      <c r="F22" s="20">
        <v>46242.77</v>
      </c>
      <c r="G22" s="21">
        <f t="shared" si="0"/>
        <v>3884392.6799999997</v>
      </c>
      <c r="H22" s="24">
        <v>84</v>
      </c>
      <c r="I22" s="20">
        <v>20833</v>
      </c>
      <c r="J22" s="54">
        <f t="shared" si="1"/>
        <v>1749972</v>
      </c>
    </row>
    <row r="23" spans="2:10" ht="15" customHeight="1" thickBot="1" x14ac:dyDescent="0.3">
      <c r="B23" s="152" t="s">
        <v>144</v>
      </c>
      <c r="C23" s="153"/>
      <c r="D23" s="153"/>
      <c r="E23" s="153"/>
      <c r="F23" s="153"/>
      <c r="G23" s="95">
        <f>SUM(G5:G22)</f>
        <v>119930633.75999999</v>
      </c>
      <c r="H23" s="153"/>
      <c r="I23" s="153"/>
      <c r="J23" s="63">
        <f>SUM(J5:J22)</f>
        <v>73498824</v>
      </c>
    </row>
  </sheetData>
  <mergeCells count="4">
    <mergeCell ref="B23:F23"/>
    <mergeCell ref="H23:I23"/>
    <mergeCell ref="B1:J1"/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</sheetPr>
  <dimension ref="B1:E25"/>
  <sheetViews>
    <sheetView showGridLines="0" zoomScaleNormal="100" workbookViewId="0">
      <selection activeCell="S45" sqref="S45"/>
    </sheetView>
  </sheetViews>
  <sheetFormatPr baseColWidth="10" defaultColWidth="8.7109375" defaultRowHeight="15" x14ac:dyDescent="0.25"/>
  <cols>
    <col min="1" max="1" width="4" customWidth="1"/>
    <col min="2" max="2" width="38" customWidth="1"/>
    <col min="3" max="3" width="12" customWidth="1"/>
    <col min="4" max="5" width="18" customWidth="1"/>
    <col min="6" max="6" width="4" customWidth="1"/>
  </cols>
  <sheetData>
    <row r="1" spans="2:5" ht="15.75" customHeight="1" thickBot="1" x14ac:dyDescent="0.3">
      <c r="B1" s="154" t="s">
        <v>145</v>
      </c>
      <c r="C1" s="155"/>
      <c r="D1" s="155"/>
      <c r="E1" s="156"/>
    </row>
    <row r="2" spans="2:5" ht="15.75" thickBot="1" x14ac:dyDescent="0.3"/>
    <row r="3" spans="2:5" ht="15" customHeight="1" x14ac:dyDescent="0.25">
      <c r="B3" s="142" t="s">
        <v>146</v>
      </c>
      <c r="C3" s="143"/>
      <c r="D3" s="143"/>
      <c r="E3" s="144"/>
    </row>
    <row r="4" spans="2:5" ht="15" customHeight="1" x14ac:dyDescent="0.25">
      <c r="B4" s="57" t="s">
        <v>147</v>
      </c>
      <c r="C4" s="11" t="s">
        <v>80</v>
      </c>
      <c r="D4" s="11" t="s">
        <v>148</v>
      </c>
      <c r="E4" s="58" t="s">
        <v>149</v>
      </c>
    </row>
    <row r="5" spans="2:5" ht="15" customHeight="1" x14ac:dyDescent="0.25">
      <c r="B5" s="59" t="s">
        <v>150</v>
      </c>
      <c r="C5" s="16">
        <v>6</v>
      </c>
      <c r="D5" s="17">
        <v>4500000</v>
      </c>
      <c r="E5" s="52">
        <f>C5*D5</f>
        <v>27000000</v>
      </c>
    </row>
    <row r="6" spans="2:5" ht="15" customHeight="1" x14ac:dyDescent="0.25">
      <c r="B6" s="60" t="s">
        <v>151</v>
      </c>
      <c r="C6" s="19">
        <v>1</v>
      </c>
      <c r="D6" s="20">
        <v>8000000</v>
      </c>
      <c r="E6" s="54">
        <f>C6*D6</f>
        <v>8000000</v>
      </c>
    </row>
    <row r="7" spans="2:5" ht="15" customHeight="1" x14ac:dyDescent="0.25">
      <c r="B7" s="59" t="s">
        <v>152</v>
      </c>
      <c r="C7" s="16">
        <v>1</v>
      </c>
      <c r="D7" s="17">
        <v>2500000</v>
      </c>
      <c r="E7" s="52">
        <f>C7*D7</f>
        <v>2500000</v>
      </c>
    </row>
    <row r="8" spans="2:5" ht="15" customHeight="1" x14ac:dyDescent="0.25">
      <c r="B8" s="60" t="s">
        <v>153</v>
      </c>
      <c r="C8" s="19">
        <v>6</v>
      </c>
      <c r="D8" s="20">
        <v>900000</v>
      </c>
      <c r="E8" s="54">
        <f>C8*D8</f>
        <v>5400000</v>
      </c>
    </row>
    <row r="9" spans="2:5" ht="15" customHeight="1" x14ac:dyDescent="0.25">
      <c r="B9" s="59" t="s">
        <v>154</v>
      </c>
      <c r="C9" s="16">
        <v>3</v>
      </c>
      <c r="D9" s="17">
        <v>400000</v>
      </c>
      <c r="E9" s="52">
        <f>C9*D9</f>
        <v>1200000</v>
      </c>
    </row>
    <row r="10" spans="2:5" ht="15" customHeight="1" thickBot="1" x14ac:dyDescent="0.3">
      <c r="B10" s="160" t="s">
        <v>155</v>
      </c>
      <c r="C10" s="161"/>
      <c r="D10" s="161"/>
      <c r="E10" s="55">
        <f>SUM(E5:E9)</f>
        <v>44100000</v>
      </c>
    </row>
    <row r="11" spans="2:5" ht="15" customHeight="1" thickBot="1" x14ac:dyDescent="0.3">
      <c r="B11" s="61"/>
      <c r="C11" s="61"/>
      <c r="D11" s="61"/>
      <c r="E11" s="61"/>
    </row>
    <row r="12" spans="2:5" ht="15" customHeight="1" x14ac:dyDescent="0.25">
      <c r="B12" s="142" t="s">
        <v>156</v>
      </c>
      <c r="C12" s="143"/>
      <c r="D12" s="143"/>
      <c r="E12" s="144"/>
    </row>
    <row r="13" spans="2:5" ht="15" customHeight="1" x14ac:dyDescent="0.25">
      <c r="B13" s="57" t="s">
        <v>157</v>
      </c>
      <c r="C13" s="11" t="s">
        <v>158</v>
      </c>
      <c r="D13" s="11" t="s">
        <v>159</v>
      </c>
      <c r="E13" s="58" t="s">
        <v>149</v>
      </c>
    </row>
    <row r="14" spans="2:5" ht="15" customHeight="1" x14ac:dyDescent="0.25">
      <c r="B14" s="59" t="s">
        <v>160</v>
      </c>
      <c r="C14" s="16">
        <v>6</v>
      </c>
      <c r="D14" s="17">
        <v>350000</v>
      </c>
      <c r="E14" s="52">
        <f t="shared" ref="E14:E23" si="0">C14*D14</f>
        <v>2100000</v>
      </c>
    </row>
    <row r="15" spans="2:5" ht="15" customHeight="1" x14ac:dyDescent="0.25">
      <c r="B15" s="60" t="s">
        <v>161</v>
      </c>
      <c r="C15" s="19">
        <v>2</v>
      </c>
      <c r="D15" s="20">
        <v>1200000</v>
      </c>
      <c r="E15" s="54">
        <f t="shared" si="0"/>
        <v>2400000</v>
      </c>
    </row>
    <row r="16" spans="2:5" ht="15" customHeight="1" x14ac:dyDescent="0.25">
      <c r="B16" s="59" t="s">
        <v>162</v>
      </c>
      <c r="C16" s="16">
        <v>1</v>
      </c>
      <c r="D16" s="17">
        <v>800000</v>
      </c>
      <c r="E16" s="52">
        <f t="shared" si="0"/>
        <v>800000</v>
      </c>
    </row>
    <row r="17" spans="2:5" ht="15" customHeight="1" x14ac:dyDescent="0.25">
      <c r="B17" s="60" t="s">
        <v>163</v>
      </c>
      <c r="C17" s="19">
        <v>1</v>
      </c>
      <c r="D17" s="20">
        <v>0</v>
      </c>
      <c r="E17" s="54">
        <f t="shared" si="0"/>
        <v>0</v>
      </c>
    </row>
    <row r="18" spans="2:5" ht="15" customHeight="1" x14ac:dyDescent="0.25">
      <c r="B18" s="59" t="s">
        <v>164</v>
      </c>
      <c r="C18" s="16">
        <v>2</v>
      </c>
      <c r="D18" s="17">
        <v>0</v>
      </c>
      <c r="E18" s="52">
        <f t="shared" si="0"/>
        <v>0</v>
      </c>
    </row>
    <row r="19" spans="2:5" ht="15" customHeight="1" x14ac:dyDescent="0.25">
      <c r="B19" s="60" t="s">
        <v>165</v>
      </c>
      <c r="C19" s="19">
        <v>1</v>
      </c>
      <c r="D19" s="20">
        <v>1800000</v>
      </c>
      <c r="E19" s="54">
        <f t="shared" si="0"/>
        <v>1800000</v>
      </c>
    </row>
    <row r="20" spans="2:5" ht="15" customHeight="1" x14ac:dyDescent="0.25">
      <c r="B20" s="59" t="s">
        <v>166</v>
      </c>
      <c r="C20" s="16">
        <v>1</v>
      </c>
      <c r="D20" s="17">
        <v>600000</v>
      </c>
      <c r="E20" s="52">
        <f t="shared" si="0"/>
        <v>600000</v>
      </c>
    </row>
    <row r="21" spans="2:5" ht="15" customHeight="1" x14ac:dyDescent="0.25">
      <c r="B21" s="60" t="s">
        <v>167</v>
      </c>
      <c r="C21" s="19">
        <v>6</v>
      </c>
      <c r="D21" s="20">
        <v>800000</v>
      </c>
      <c r="E21" s="54">
        <f t="shared" si="0"/>
        <v>4800000</v>
      </c>
    </row>
    <row r="22" spans="2:5" ht="15" customHeight="1" x14ac:dyDescent="0.25">
      <c r="B22" s="59" t="s">
        <v>168</v>
      </c>
      <c r="C22" s="16">
        <v>6</v>
      </c>
      <c r="D22" s="17">
        <v>180000</v>
      </c>
      <c r="E22" s="52">
        <f t="shared" si="0"/>
        <v>1080000</v>
      </c>
    </row>
    <row r="23" spans="2:5" ht="15" customHeight="1" x14ac:dyDescent="0.25">
      <c r="B23" s="60" t="s">
        <v>169</v>
      </c>
      <c r="C23" s="19">
        <v>1</v>
      </c>
      <c r="D23" s="20">
        <v>900000</v>
      </c>
      <c r="E23" s="54">
        <f t="shared" si="0"/>
        <v>900000</v>
      </c>
    </row>
    <row r="24" spans="2:5" ht="15" customHeight="1" x14ac:dyDescent="0.25">
      <c r="B24" s="162" t="s">
        <v>170</v>
      </c>
      <c r="C24" s="163"/>
      <c r="D24" s="163"/>
      <c r="E24" s="62">
        <f>SUM(E14:E23)</f>
        <v>14480000</v>
      </c>
    </row>
    <row r="25" spans="2:5" ht="15" customHeight="1" thickBot="1" x14ac:dyDescent="0.3">
      <c r="B25" s="152" t="s">
        <v>171</v>
      </c>
      <c r="C25" s="153"/>
      <c r="D25" s="153"/>
      <c r="E25" s="63">
        <f>E10+E24</f>
        <v>58580000</v>
      </c>
    </row>
  </sheetData>
  <mergeCells count="6">
    <mergeCell ref="B25:D25"/>
    <mergeCell ref="B1:E1"/>
    <mergeCell ref="B3:E3"/>
    <mergeCell ref="B10:D10"/>
    <mergeCell ref="B12:E12"/>
    <mergeCell ref="B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79998168889431442"/>
  </sheetPr>
  <dimension ref="B1:E14"/>
  <sheetViews>
    <sheetView showGridLines="0" zoomScaleNormal="100" workbookViewId="0">
      <selection activeCell="N23" sqref="N23"/>
    </sheetView>
  </sheetViews>
  <sheetFormatPr baseColWidth="10" defaultColWidth="8.7109375" defaultRowHeight="15" x14ac:dyDescent="0.25"/>
  <cols>
    <col min="1" max="1" width="4" customWidth="1"/>
    <col min="2" max="2" width="38" customWidth="1"/>
    <col min="3" max="3" width="23" bestFit="1" customWidth="1"/>
    <col min="4" max="5" width="18" customWidth="1"/>
    <col min="6" max="6" width="4" customWidth="1"/>
  </cols>
  <sheetData>
    <row r="1" spans="2:5" ht="15.75" customHeight="1" thickBot="1" x14ac:dyDescent="0.3">
      <c r="B1" s="154" t="s">
        <v>172</v>
      </c>
      <c r="C1" s="155"/>
      <c r="D1" s="155"/>
      <c r="E1" s="156"/>
    </row>
    <row r="2" spans="2:5" ht="15.75" thickBot="1" x14ac:dyDescent="0.3"/>
    <row r="3" spans="2:5" ht="15" customHeight="1" x14ac:dyDescent="0.25">
      <c r="B3" s="142" t="s">
        <v>173</v>
      </c>
      <c r="C3" s="143"/>
      <c r="D3" s="143"/>
      <c r="E3" s="144"/>
    </row>
    <row r="4" spans="2:5" ht="15" customHeight="1" x14ac:dyDescent="0.25">
      <c r="B4" s="57" t="s">
        <v>63</v>
      </c>
      <c r="C4" s="11" t="s">
        <v>174</v>
      </c>
      <c r="D4" s="11" t="s">
        <v>175</v>
      </c>
      <c r="E4" s="58" t="s">
        <v>65</v>
      </c>
    </row>
    <row r="5" spans="2:5" ht="15" customHeight="1" x14ac:dyDescent="0.25">
      <c r="B5" s="59" t="s">
        <v>176</v>
      </c>
      <c r="C5" s="18">
        <f>REC_TECNICO!E10</f>
        <v>44100000</v>
      </c>
      <c r="D5" s="18">
        <f>C5*SUPUESTOS!C11</f>
        <v>8379000</v>
      </c>
      <c r="E5" s="64" t="s">
        <v>177</v>
      </c>
    </row>
    <row r="6" spans="2:5" ht="15" customHeight="1" x14ac:dyDescent="0.25">
      <c r="B6" s="60" t="s">
        <v>178</v>
      </c>
      <c r="C6" s="21">
        <f>REC_TECNICO!E24</f>
        <v>14480000</v>
      </c>
      <c r="D6" s="21">
        <f>C6*SUPUESTOS!C11</f>
        <v>2751200</v>
      </c>
      <c r="E6" s="65" t="s">
        <v>179</v>
      </c>
    </row>
    <row r="7" spans="2:5" ht="15" customHeight="1" thickBot="1" x14ac:dyDescent="0.3">
      <c r="B7" s="160" t="s">
        <v>180</v>
      </c>
      <c r="C7" s="161"/>
      <c r="D7" s="173">
        <f>SUM(D5:D6)</f>
        <v>11130200</v>
      </c>
      <c r="E7" s="174"/>
    </row>
    <row r="8" spans="2:5" ht="15.75" thickBot="1" x14ac:dyDescent="0.3"/>
    <row r="9" spans="2:5" ht="15" customHeight="1" x14ac:dyDescent="0.25">
      <c r="B9" s="164" t="s">
        <v>181</v>
      </c>
      <c r="C9" s="165"/>
      <c r="D9" s="165"/>
      <c r="E9" s="166"/>
    </row>
    <row r="10" spans="2:5" ht="15" customHeight="1" x14ac:dyDescent="0.25">
      <c r="B10" s="167" t="s">
        <v>182</v>
      </c>
      <c r="C10" s="168"/>
      <c r="D10" s="168"/>
      <c r="E10" s="169"/>
    </row>
    <row r="11" spans="2:5" ht="15" customHeight="1" x14ac:dyDescent="0.25">
      <c r="B11" s="167" t="s">
        <v>183</v>
      </c>
      <c r="C11" s="168"/>
      <c r="D11" s="168"/>
      <c r="E11" s="169"/>
    </row>
    <row r="12" spans="2:5" ht="15" customHeight="1" x14ac:dyDescent="0.25">
      <c r="B12" s="167" t="s">
        <v>184</v>
      </c>
      <c r="C12" s="168"/>
      <c r="D12" s="168"/>
      <c r="E12" s="169"/>
    </row>
    <row r="13" spans="2:5" ht="15" customHeight="1" x14ac:dyDescent="0.25">
      <c r="B13" s="167" t="s">
        <v>185</v>
      </c>
      <c r="C13" s="168"/>
      <c r="D13" s="168"/>
      <c r="E13" s="169"/>
    </row>
    <row r="14" spans="2:5" ht="15" customHeight="1" thickBot="1" x14ac:dyDescent="0.3">
      <c r="B14" s="170" t="s">
        <v>186</v>
      </c>
      <c r="C14" s="171"/>
      <c r="D14" s="171"/>
      <c r="E14" s="172"/>
    </row>
  </sheetData>
  <mergeCells count="10">
    <mergeCell ref="B11:E11"/>
    <mergeCell ref="B12:E12"/>
    <mergeCell ref="B13:E13"/>
    <mergeCell ref="B14:E14"/>
    <mergeCell ref="D7:E7"/>
    <mergeCell ref="B1:E1"/>
    <mergeCell ref="B3:E3"/>
    <mergeCell ref="B7:C7"/>
    <mergeCell ref="B9:E9"/>
    <mergeCell ref="B10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B1:E20"/>
  <sheetViews>
    <sheetView showGridLines="0" zoomScaleNormal="100" workbookViewId="0">
      <selection activeCell="J33" sqref="J33"/>
    </sheetView>
  </sheetViews>
  <sheetFormatPr baseColWidth="10" defaultColWidth="8.7109375" defaultRowHeight="15" x14ac:dyDescent="0.25"/>
  <cols>
    <col min="1" max="1" width="4" customWidth="1"/>
    <col min="2" max="2" width="36" customWidth="1"/>
    <col min="3" max="3" width="22.28515625" bestFit="1" customWidth="1"/>
    <col min="4" max="4" width="12" customWidth="1"/>
    <col min="5" max="5" width="19.140625" bestFit="1" customWidth="1"/>
    <col min="6" max="6" width="4" customWidth="1"/>
  </cols>
  <sheetData>
    <row r="1" spans="2:5" ht="15.75" customHeight="1" thickBot="1" x14ac:dyDescent="0.3">
      <c r="B1" s="154" t="s">
        <v>187</v>
      </c>
      <c r="C1" s="155"/>
      <c r="D1" s="155"/>
      <c r="E1" s="156"/>
    </row>
    <row r="2" spans="2:5" ht="15.75" thickBot="1" x14ac:dyDescent="0.3"/>
    <row r="3" spans="2:5" ht="15" customHeight="1" x14ac:dyDescent="0.25">
      <c r="B3" s="142" t="s">
        <v>188</v>
      </c>
      <c r="C3" s="143"/>
      <c r="D3" s="143"/>
      <c r="E3" s="144"/>
    </row>
    <row r="4" spans="2:5" ht="15" customHeight="1" x14ac:dyDescent="0.25">
      <c r="B4" s="57" t="s">
        <v>189</v>
      </c>
      <c r="C4" s="11" t="s">
        <v>190</v>
      </c>
      <c r="D4" s="11" t="s">
        <v>191</v>
      </c>
      <c r="E4" s="58" t="s">
        <v>192</v>
      </c>
    </row>
    <row r="5" spans="2:5" ht="15" customHeight="1" x14ac:dyDescent="0.25">
      <c r="B5" s="59" t="s">
        <v>193</v>
      </c>
      <c r="C5" s="17">
        <v>900000</v>
      </c>
      <c r="D5" s="16">
        <v>8</v>
      </c>
      <c r="E5" s="52">
        <f>C5*D5</f>
        <v>7200000</v>
      </c>
    </row>
    <row r="6" spans="2:5" ht="15" customHeight="1" x14ac:dyDescent="0.25">
      <c r="B6" s="60" t="s">
        <v>194</v>
      </c>
      <c r="C6" s="20">
        <v>450000</v>
      </c>
      <c r="D6" s="19">
        <v>8</v>
      </c>
      <c r="E6" s="54">
        <f>C6*D6</f>
        <v>3600000</v>
      </c>
    </row>
    <row r="7" spans="2:5" ht="15" customHeight="1" x14ac:dyDescent="0.25">
      <c r="B7" s="59" t="s">
        <v>195</v>
      </c>
      <c r="C7" s="17">
        <v>150000</v>
      </c>
      <c r="D7" s="16">
        <v>8</v>
      </c>
      <c r="E7" s="52">
        <f>C7*D7</f>
        <v>1200000</v>
      </c>
    </row>
    <row r="8" spans="2:5" ht="15" customHeight="1" x14ac:dyDescent="0.25">
      <c r="B8" s="60" t="s">
        <v>196</v>
      </c>
      <c r="C8" s="20">
        <v>250000</v>
      </c>
      <c r="D8" s="19">
        <v>8</v>
      </c>
      <c r="E8" s="54">
        <f>C8*D8</f>
        <v>2000000</v>
      </c>
    </row>
    <row r="9" spans="2:5" ht="15" customHeight="1" x14ac:dyDescent="0.25">
      <c r="B9" s="175" t="s">
        <v>197</v>
      </c>
      <c r="C9" s="176"/>
      <c r="D9" s="176"/>
      <c r="E9" s="66">
        <f>SUM(E5:E8)</f>
        <v>14000000</v>
      </c>
    </row>
    <row r="10" spans="2:5" ht="15" customHeight="1" x14ac:dyDescent="0.25"/>
    <row r="11" spans="2:5" ht="15" customHeight="1" x14ac:dyDescent="0.25">
      <c r="B11" s="177" t="s">
        <v>198</v>
      </c>
      <c r="C11" s="178"/>
      <c r="D11" s="178"/>
      <c r="E11" s="179"/>
    </row>
    <row r="12" spans="2:5" ht="15" customHeight="1" x14ac:dyDescent="0.25">
      <c r="B12" s="57" t="s">
        <v>63</v>
      </c>
      <c r="C12" s="180" t="s">
        <v>159</v>
      </c>
      <c r="D12" s="180"/>
      <c r="E12" s="58" t="s">
        <v>65</v>
      </c>
    </row>
    <row r="13" spans="2:5" ht="15" customHeight="1" x14ac:dyDescent="0.25">
      <c r="B13" s="59" t="s">
        <v>199</v>
      </c>
      <c r="C13" s="182">
        <v>1500000</v>
      </c>
      <c r="D13" s="182"/>
      <c r="E13" s="64" t="s">
        <v>200</v>
      </c>
    </row>
    <row r="14" spans="2:5" ht="15" customHeight="1" x14ac:dyDescent="0.25">
      <c r="B14" s="60" t="s">
        <v>201</v>
      </c>
      <c r="C14" s="181">
        <v>3000000</v>
      </c>
      <c r="D14" s="181"/>
      <c r="E14" s="65" t="s">
        <v>202</v>
      </c>
    </row>
    <row r="15" spans="2:5" ht="15" customHeight="1" x14ac:dyDescent="0.25">
      <c r="B15" s="59" t="s">
        <v>203</v>
      </c>
      <c r="C15" s="182">
        <v>2500000</v>
      </c>
      <c r="D15" s="182"/>
      <c r="E15" s="64" t="s">
        <v>204</v>
      </c>
    </row>
    <row r="16" spans="2:5" ht="15" customHeight="1" x14ac:dyDescent="0.25">
      <c r="B16" s="60" t="s">
        <v>205</v>
      </c>
      <c r="C16" s="181">
        <v>2000000</v>
      </c>
      <c r="D16" s="181"/>
      <c r="E16" s="65" t="s">
        <v>206</v>
      </c>
    </row>
    <row r="17" spans="2:5" ht="15" customHeight="1" x14ac:dyDescent="0.25">
      <c r="B17" s="59" t="s">
        <v>207</v>
      </c>
      <c r="C17" s="182">
        <v>4800000</v>
      </c>
      <c r="D17" s="182"/>
      <c r="E17" s="64" t="s">
        <v>208</v>
      </c>
    </row>
    <row r="18" spans="2:5" ht="15" customHeight="1" x14ac:dyDescent="0.25">
      <c r="B18" s="60" t="s">
        <v>209</v>
      </c>
      <c r="C18" s="181">
        <v>800000</v>
      </c>
      <c r="D18" s="181"/>
      <c r="E18" s="65" t="s">
        <v>210</v>
      </c>
    </row>
    <row r="19" spans="2:5" ht="15" customHeight="1" x14ac:dyDescent="0.25">
      <c r="B19" s="162" t="s">
        <v>211</v>
      </c>
      <c r="C19" s="163"/>
      <c r="D19" s="163"/>
      <c r="E19" s="62">
        <f>SUM(C13:C18)</f>
        <v>14600000</v>
      </c>
    </row>
    <row r="20" spans="2:5" ht="15" customHeight="1" thickBot="1" x14ac:dyDescent="0.3">
      <c r="B20" s="152" t="s">
        <v>212</v>
      </c>
      <c r="C20" s="153"/>
      <c r="D20" s="153"/>
      <c r="E20" s="63">
        <f>E9+E19</f>
        <v>28600000</v>
      </c>
    </row>
  </sheetData>
  <mergeCells count="13">
    <mergeCell ref="C18:D18"/>
    <mergeCell ref="B19:D19"/>
    <mergeCell ref="B20:D20"/>
    <mergeCell ref="C13:D13"/>
    <mergeCell ref="C14:D14"/>
    <mergeCell ref="C15:D15"/>
    <mergeCell ref="C16:D16"/>
    <mergeCell ref="C17:D17"/>
    <mergeCell ref="B1:E1"/>
    <mergeCell ref="B3:E3"/>
    <mergeCell ref="B9:D9"/>
    <mergeCell ref="B11:E11"/>
    <mergeCell ref="C12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C15"/>
  <sheetViews>
    <sheetView showGridLines="0" tabSelected="1" zoomScaleNormal="100" workbookViewId="0">
      <selection activeCell="E35" sqref="E35"/>
    </sheetView>
  </sheetViews>
  <sheetFormatPr baseColWidth="10" defaultColWidth="8.7109375" defaultRowHeight="15" x14ac:dyDescent="0.25"/>
  <cols>
    <col min="1" max="1" width="4" customWidth="1"/>
    <col min="2" max="2" width="43" bestFit="1" customWidth="1"/>
    <col min="3" max="3" width="31.7109375" customWidth="1"/>
    <col min="4" max="4" width="4" customWidth="1"/>
  </cols>
  <sheetData>
    <row r="1" spans="2:3" ht="15.75" customHeight="1" thickBot="1" x14ac:dyDescent="0.3">
      <c r="B1" s="154" t="s">
        <v>213</v>
      </c>
      <c r="C1" s="156"/>
    </row>
    <row r="2" spans="2:3" ht="15.75" thickBot="1" x14ac:dyDescent="0.3"/>
    <row r="3" spans="2:3" ht="15" customHeight="1" x14ac:dyDescent="0.25">
      <c r="B3" s="142" t="s">
        <v>214</v>
      </c>
      <c r="C3" s="144"/>
    </row>
    <row r="4" spans="2:3" ht="15" customHeight="1" x14ac:dyDescent="0.25">
      <c r="B4" s="183" t="s">
        <v>215</v>
      </c>
      <c r="C4" s="184"/>
    </row>
    <row r="5" spans="2:3" ht="15" customHeight="1" x14ac:dyDescent="0.25">
      <c r="B5" s="185" t="s">
        <v>216</v>
      </c>
      <c r="C5" s="125"/>
    </row>
    <row r="6" spans="2:3" ht="15" customHeight="1" x14ac:dyDescent="0.25">
      <c r="B6" s="183" t="s">
        <v>217</v>
      </c>
      <c r="C6" s="184"/>
    </row>
    <row r="7" spans="2:3" ht="15" customHeight="1" x14ac:dyDescent="0.25">
      <c r="B7" s="185" t="s">
        <v>218</v>
      </c>
      <c r="C7" s="125"/>
    </row>
    <row r="8" spans="2:3" ht="15" customHeight="1" x14ac:dyDescent="0.25">
      <c r="B8" s="183" t="s">
        <v>219</v>
      </c>
      <c r="C8" s="184"/>
    </row>
    <row r="9" spans="2:3" ht="15" customHeight="1" x14ac:dyDescent="0.25">
      <c r="B9" s="185" t="s">
        <v>220</v>
      </c>
      <c r="C9" s="125"/>
    </row>
    <row r="10" spans="2:3" ht="15" customHeight="1" thickBot="1" x14ac:dyDescent="0.3">
      <c r="B10" s="186" t="s">
        <v>221</v>
      </c>
      <c r="C10" s="187"/>
    </row>
    <row r="11" spans="2:3" ht="15" customHeight="1" thickBot="1" x14ac:dyDescent="0.3"/>
    <row r="12" spans="2:3" ht="15" customHeight="1" x14ac:dyDescent="0.25">
      <c r="B12" s="142" t="s">
        <v>222</v>
      </c>
      <c r="C12" s="144"/>
    </row>
    <row r="13" spans="2:3" ht="15" customHeight="1" x14ac:dyDescent="0.25">
      <c r="B13" s="60" t="s">
        <v>223</v>
      </c>
      <c r="C13" s="67">
        <f>RESUMEN_COSTOS!C11</f>
        <v>446390200</v>
      </c>
    </row>
    <row r="14" spans="2:3" ht="15" customHeight="1" x14ac:dyDescent="0.25">
      <c r="B14" s="60" t="s">
        <v>224</v>
      </c>
      <c r="C14" s="68">
        <f>SUPUESTOS!C10</f>
        <v>0.1</v>
      </c>
    </row>
    <row r="15" spans="2:3" ht="15" customHeight="1" thickBot="1" x14ac:dyDescent="0.3">
      <c r="B15" s="96" t="s">
        <v>225</v>
      </c>
      <c r="C15" s="63">
        <f>RESUMEN_COSTOS!C11*SUPUESTOS!C10</f>
        <v>44639020</v>
      </c>
    </row>
  </sheetData>
  <mergeCells count="10">
    <mergeCell ref="B7:C7"/>
    <mergeCell ref="B8:C8"/>
    <mergeCell ref="B9:C9"/>
    <mergeCell ref="B10:C10"/>
    <mergeCell ref="B12:C12"/>
    <mergeCell ref="B1:C1"/>
    <mergeCell ref="B3:C3"/>
    <mergeCell ref="B4:C4"/>
    <mergeCell ref="B5:C5"/>
    <mergeCell ref="B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59999389629810485"/>
  </sheetPr>
  <dimension ref="B1:C15"/>
  <sheetViews>
    <sheetView showGridLines="0" zoomScaleNormal="100" workbookViewId="0">
      <selection activeCell="J29" sqref="J29"/>
    </sheetView>
  </sheetViews>
  <sheetFormatPr baseColWidth="10" defaultColWidth="8.7109375" defaultRowHeight="15" x14ac:dyDescent="0.25"/>
  <cols>
    <col min="1" max="1" width="4" customWidth="1"/>
    <col min="2" max="2" width="49.42578125" bestFit="1" customWidth="1"/>
    <col min="3" max="3" width="22" customWidth="1"/>
    <col min="4" max="4" width="4" customWidth="1"/>
  </cols>
  <sheetData>
    <row r="1" spans="2:3" ht="15.75" customHeight="1" thickBot="1" x14ac:dyDescent="0.3">
      <c r="B1" s="154" t="s">
        <v>226</v>
      </c>
      <c r="C1" s="156"/>
    </row>
    <row r="2" spans="2:3" ht="15" customHeight="1" thickBot="1" x14ac:dyDescent="0.3">
      <c r="B2" s="157" t="s">
        <v>227</v>
      </c>
      <c r="C2" s="159"/>
    </row>
    <row r="3" spans="2:3" ht="15.75" thickBot="1" x14ac:dyDescent="0.3"/>
    <row r="4" spans="2:3" ht="15" customHeight="1" x14ac:dyDescent="0.25">
      <c r="B4" s="40" t="s">
        <v>228</v>
      </c>
      <c r="C4" s="56" t="s">
        <v>159</v>
      </c>
    </row>
    <row r="5" spans="2:3" ht="15" customHeight="1" x14ac:dyDescent="0.25">
      <c r="B5" s="103" t="s">
        <v>229</v>
      </c>
      <c r="C5" s="69">
        <f>REC_HUMANO!F16+REC_HUMANO!G16</f>
        <v>348080000</v>
      </c>
    </row>
    <row r="6" spans="2:3" ht="15" customHeight="1" x14ac:dyDescent="0.25">
      <c r="B6" s="60" t="s">
        <v>230</v>
      </c>
      <c r="C6" s="54">
        <f>REC_TECNICO!E10</f>
        <v>44100000</v>
      </c>
    </row>
    <row r="7" spans="2:3" ht="15" customHeight="1" x14ac:dyDescent="0.25">
      <c r="B7" s="59" t="s">
        <v>231</v>
      </c>
      <c r="C7" s="52">
        <f>REC_TECNICO!E24</f>
        <v>14480000</v>
      </c>
    </row>
    <row r="8" spans="2:3" ht="15" customHeight="1" x14ac:dyDescent="0.25">
      <c r="B8" s="60" t="s">
        <v>232</v>
      </c>
      <c r="C8" s="54">
        <f>IMPUESTOS!D7</f>
        <v>11130200</v>
      </c>
    </row>
    <row r="9" spans="2:3" ht="15" customHeight="1" x14ac:dyDescent="0.25">
      <c r="B9" s="59" t="s">
        <v>233</v>
      </c>
      <c r="C9" s="52">
        <f>COSTOS_OPERATIVOS!E9</f>
        <v>14000000</v>
      </c>
    </row>
    <row r="10" spans="2:3" ht="15" customHeight="1" x14ac:dyDescent="0.25">
      <c r="B10" s="60" t="s">
        <v>234</v>
      </c>
      <c r="C10" s="54">
        <f>COSTOS_OPERATIVOS!E19</f>
        <v>14600000</v>
      </c>
    </row>
    <row r="11" spans="2:3" ht="15" customHeight="1" x14ac:dyDescent="0.25">
      <c r="B11" s="98" t="s">
        <v>235</v>
      </c>
      <c r="C11" s="62">
        <f>SUM(C5:C10)</f>
        <v>446390200</v>
      </c>
    </row>
    <row r="12" spans="2:3" ht="15" customHeight="1" x14ac:dyDescent="0.25">
      <c r="B12" s="99" t="s">
        <v>236</v>
      </c>
      <c r="C12" s="70">
        <f>C11*SUPUESTOS!C10</f>
        <v>44639020</v>
      </c>
    </row>
    <row r="13" spans="2:3" ht="15" customHeight="1" x14ac:dyDescent="0.25">
      <c r="B13" s="100" t="s">
        <v>237</v>
      </c>
      <c r="C13" s="62">
        <f>C11+C12</f>
        <v>491029220</v>
      </c>
    </row>
    <row r="14" spans="2:3" ht="15" customHeight="1" x14ac:dyDescent="0.25">
      <c r="B14" s="101" t="s">
        <v>238</v>
      </c>
      <c r="C14" s="52">
        <f>C13*SUPUESTOS!C9</f>
        <v>147308766</v>
      </c>
    </row>
    <row r="15" spans="2:3" ht="15" customHeight="1" thickBot="1" x14ac:dyDescent="0.3">
      <c r="B15" s="102" t="s">
        <v>239</v>
      </c>
      <c r="C15" s="71">
        <f>C13+C14</f>
        <v>638337986</v>
      </c>
    </row>
  </sheetData>
  <mergeCells count="2">
    <mergeCell ref="B1:C1"/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B1:D26"/>
  <sheetViews>
    <sheetView showGridLines="0" zoomScaleNormal="100" workbookViewId="0">
      <selection activeCell="U40" sqref="U40"/>
    </sheetView>
  </sheetViews>
  <sheetFormatPr baseColWidth="10" defaultColWidth="8.7109375" defaultRowHeight="15" x14ac:dyDescent="0.25"/>
  <cols>
    <col min="1" max="1" width="4" customWidth="1"/>
    <col min="2" max="2" width="38" customWidth="1"/>
    <col min="3" max="3" width="22" customWidth="1"/>
    <col min="4" max="4" width="29.7109375" bestFit="1" customWidth="1"/>
    <col min="5" max="5" width="4" customWidth="1"/>
  </cols>
  <sheetData>
    <row r="1" spans="2:4" ht="15.75" customHeight="1" thickBot="1" x14ac:dyDescent="0.3">
      <c r="B1" s="154" t="s">
        <v>240</v>
      </c>
      <c r="C1" s="155"/>
      <c r="D1" s="156"/>
    </row>
    <row r="2" spans="2:4" ht="15.75" thickBot="1" x14ac:dyDescent="0.3"/>
    <row r="3" spans="2:4" ht="15" customHeight="1" x14ac:dyDescent="0.25">
      <c r="B3" s="142" t="s">
        <v>241</v>
      </c>
      <c r="C3" s="143"/>
      <c r="D3" s="144"/>
    </row>
    <row r="4" spans="2:4" ht="15" customHeight="1" x14ac:dyDescent="0.25">
      <c r="B4" s="59" t="s">
        <v>242</v>
      </c>
      <c r="C4" s="191">
        <f>RESUMEN_COSTOS!C11</f>
        <v>446390200</v>
      </c>
      <c r="D4" s="192"/>
    </row>
    <row r="5" spans="2:4" ht="15" customHeight="1" x14ac:dyDescent="0.25">
      <c r="B5" s="60" t="s">
        <v>56</v>
      </c>
      <c r="C5" s="193">
        <f>RESUMEN_COSTOS!C12</f>
        <v>44639020</v>
      </c>
      <c r="D5" s="194"/>
    </row>
    <row r="6" spans="2:4" ht="15" customHeight="1" x14ac:dyDescent="0.25">
      <c r="B6" s="59" t="s">
        <v>243</v>
      </c>
      <c r="C6" s="191">
        <f>RESUMEN_COSTOS!C13</f>
        <v>491029220</v>
      </c>
      <c r="D6" s="192"/>
    </row>
    <row r="7" spans="2:4" ht="15" customHeight="1" x14ac:dyDescent="0.25">
      <c r="B7" s="60" t="s">
        <v>244</v>
      </c>
      <c r="C7" s="193">
        <f>RESUMEN_COSTOS!C14</f>
        <v>147308766</v>
      </c>
      <c r="D7" s="194"/>
    </row>
    <row r="8" spans="2:4" ht="15" customHeight="1" thickBot="1" x14ac:dyDescent="0.3">
      <c r="B8" s="39" t="s">
        <v>245</v>
      </c>
      <c r="C8" s="195">
        <f>RESUMEN_COSTOS!C15</f>
        <v>638337986</v>
      </c>
      <c r="D8" s="196"/>
    </row>
    <row r="9" spans="2:4" ht="15" customHeight="1" thickBot="1" x14ac:dyDescent="0.3"/>
    <row r="10" spans="2:4" ht="15" customHeight="1" x14ac:dyDescent="0.25">
      <c r="B10" s="142" t="s">
        <v>246</v>
      </c>
      <c r="C10" s="143"/>
      <c r="D10" s="144"/>
    </row>
    <row r="11" spans="2:4" ht="15" customHeight="1" x14ac:dyDescent="0.25">
      <c r="B11" s="57" t="s">
        <v>247</v>
      </c>
      <c r="C11" s="11" t="s">
        <v>248</v>
      </c>
      <c r="D11" s="58" t="s">
        <v>249</v>
      </c>
    </row>
    <row r="12" spans="2:4" ht="15" customHeight="1" x14ac:dyDescent="0.25">
      <c r="B12" s="72" t="s">
        <v>250</v>
      </c>
      <c r="C12" s="25">
        <f>RESUMEN_COSTOS!C14/RESUMEN_COSTOS!C15</f>
        <v>0.23076923076923078</v>
      </c>
      <c r="D12" s="73" t="s">
        <v>251</v>
      </c>
    </row>
    <row r="13" spans="2:4" ht="15" customHeight="1" x14ac:dyDescent="0.25">
      <c r="B13" s="60" t="s">
        <v>252</v>
      </c>
      <c r="C13" s="26">
        <f>RESUMEN_COSTOS!C14/RESUMEN_COSTOS!C13</f>
        <v>0.3</v>
      </c>
      <c r="D13" s="65" t="s">
        <v>253</v>
      </c>
    </row>
    <row r="14" spans="2:4" ht="15" customHeight="1" x14ac:dyDescent="0.25">
      <c r="B14" s="72" t="s">
        <v>254</v>
      </c>
      <c r="C14" s="27">
        <f>RESUMEN_COSTOS!C13/SUPUESTOS!C5</f>
        <v>61378652.5</v>
      </c>
      <c r="D14" s="73" t="s">
        <v>255</v>
      </c>
    </row>
    <row r="15" spans="2:4" ht="15" customHeight="1" x14ac:dyDescent="0.25">
      <c r="B15" s="60" t="s">
        <v>256</v>
      </c>
      <c r="C15" s="28">
        <f>RESUMEN_COSTOS!C15/SUPUESTOS!C5</f>
        <v>79792248.25</v>
      </c>
      <c r="D15" s="65" t="s">
        <v>257</v>
      </c>
    </row>
    <row r="16" spans="2:4" ht="15" customHeight="1" x14ac:dyDescent="0.25">
      <c r="B16" s="72" t="s">
        <v>258</v>
      </c>
      <c r="C16" s="27">
        <f>RESUMEN_COSTOS!C14/SUPUESTOS!C5</f>
        <v>18413595.75</v>
      </c>
      <c r="D16" s="73" t="s">
        <v>259</v>
      </c>
    </row>
    <row r="17" spans="2:4" ht="15" customHeight="1" x14ac:dyDescent="0.25">
      <c r="B17" s="60" t="s">
        <v>260</v>
      </c>
      <c r="C17" s="26">
        <f>RESUMEN_COSTOS!C13/RESUMEN_COSTOS!C15</f>
        <v>0.76923076923076927</v>
      </c>
      <c r="D17" s="65" t="s">
        <v>261</v>
      </c>
    </row>
    <row r="18" spans="2:4" ht="15" customHeight="1" thickBot="1" x14ac:dyDescent="0.3">
      <c r="B18" s="74" t="s">
        <v>262</v>
      </c>
      <c r="C18" s="97">
        <f>(REC_HUMANO!F16+REC_HUMANO!G16)/RESUMEN_COSTOS!C11</f>
        <v>0.77976622246635341</v>
      </c>
      <c r="D18" s="75" t="s">
        <v>263</v>
      </c>
    </row>
    <row r="19" spans="2:4" ht="15.75" thickBot="1" x14ac:dyDescent="0.3"/>
    <row r="20" spans="2:4" ht="15" customHeight="1" x14ac:dyDescent="0.25">
      <c r="B20" s="142" t="s">
        <v>264</v>
      </c>
      <c r="C20" s="143"/>
      <c r="D20" s="144"/>
    </row>
    <row r="21" spans="2:4" ht="15" customHeight="1" x14ac:dyDescent="0.25">
      <c r="B21" s="188" t="s">
        <v>265</v>
      </c>
      <c r="C21" s="189"/>
      <c r="D21" s="190"/>
    </row>
    <row r="22" spans="2:4" ht="15" customHeight="1" x14ac:dyDescent="0.25">
      <c r="B22" s="197" t="s">
        <v>266</v>
      </c>
      <c r="C22" s="198"/>
      <c r="D22" s="199"/>
    </row>
    <row r="23" spans="2:4" ht="15" customHeight="1" x14ac:dyDescent="0.25">
      <c r="B23" s="188" t="s">
        <v>267</v>
      </c>
      <c r="C23" s="189"/>
      <c r="D23" s="190"/>
    </row>
    <row r="24" spans="2:4" ht="15" customHeight="1" x14ac:dyDescent="0.25">
      <c r="B24" s="197" t="s">
        <v>268</v>
      </c>
      <c r="C24" s="198"/>
      <c r="D24" s="199"/>
    </row>
    <row r="25" spans="2:4" ht="15" customHeight="1" x14ac:dyDescent="0.25">
      <c r="B25" s="188" t="s">
        <v>269</v>
      </c>
      <c r="C25" s="189"/>
      <c r="D25" s="190"/>
    </row>
    <row r="26" spans="2:4" ht="15" customHeight="1" thickBot="1" x14ac:dyDescent="0.3">
      <c r="B26" s="200" t="s">
        <v>270</v>
      </c>
      <c r="C26" s="201"/>
      <c r="D26" s="202"/>
    </row>
  </sheetData>
  <mergeCells count="15">
    <mergeCell ref="B22:D22"/>
    <mergeCell ref="B23:D23"/>
    <mergeCell ref="B24:D24"/>
    <mergeCell ref="B25:D25"/>
    <mergeCell ref="B26:D26"/>
    <mergeCell ref="B1:D1"/>
    <mergeCell ref="B3:D3"/>
    <mergeCell ref="B10:D10"/>
    <mergeCell ref="B20:D20"/>
    <mergeCell ref="B21:D21"/>
    <mergeCell ref="C4:D4"/>
    <mergeCell ref="C5:D5"/>
    <mergeCell ref="C6:D6"/>
    <mergeCell ref="C7:D7"/>
    <mergeCell ref="C8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59999389629810485"/>
  </sheetPr>
  <dimension ref="B1:E18"/>
  <sheetViews>
    <sheetView showGridLines="0" zoomScaleNormal="100" workbookViewId="0">
      <selection activeCell="E31" sqref="E31"/>
    </sheetView>
  </sheetViews>
  <sheetFormatPr baseColWidth="10" defaultColWidth="8.7109375" defaultRowHeight="15" x14ac:dyDescent="0.25"/>
  <cols>
    <col min="1" max="1" width="4" customWidth="1"/>
    <col min="2" max="3" width="28" customWidth="1"/>
    <col min="4" max="4" width="34.28515625" bestFit="1" customWidth="1"/>
    <col min="5" max="5" width="32.28515625" bestFit="1" customWidth="1"/>
  </cols>
  <sheetData>
    <row r="1" spans="2:5" ht="17.25" customHeight="1" thickBot="1" x14ac:dyDescent="0.3">
      <c r="B1" s="136" t="s">
        <v>271</v>
      </c>
      <c r="C1" s="137"/>
      <c r="D1" s="137"/>
      <c r="E1" s="138"/>
    </row>
    <row r="2" spans="2:5" ht="15" customHeight="1" thickBot="1" x14ac:dyDescent="0.3">
      <c r="B2" s="157" t="s">
        <v>272</v>
      </c>
      <c r="C2" s="158"/>
      <c r="D2" s="158"/>
      <c r="E2" s="159"/>
    </row>
    <row r="3" spans="2:5" ht="15.75" thickBot="1" x14ac:dyDescent="0.3"/>
    <row r="4" spans="2:5" ht="15" customHeight="1" x14ac:dyDescent="0.25">
      <c r="B4" s="76" t="s">
        <v>273</v>
      </c>
      <c r="C4" s="77" t="s">
        <v>274</v>
      </c>
      <c r="D4" s="78" t="s">
        <v>275</v>
      </c>
      <c r="E4" s="79" t="s">
        <v>276</v>
      </c>
    </row>
    <row r="5" spans="2:5" ht="15" customHeight="1" x14ac:dyDescent="0.25">
      <c r="B5" s="59" t="s">
        <v>277</v>
      </c>
      <c r="C5" s="29" t="s">
        <v>278</v>
      </c>
      <c r="D5" s="12" t="s">
        <v>279</v>
      </c>
      <c r="E5" s="80" t="s">
        <v>280</v>
      </c>
    </row>
    <row r="6" spans="2:5" ht="15" customHeight="1" x14ac:dyDescent="0.25">
      <c r="B6" s="60" t="s">
        <v>281</v>
      </c>
      <c r="C6" s="1" t="s">
        <v>282</v>
      </c>
      <c r="D6" s="1" t="s">
        <v>283</v>
      </c>
      <c r="E6" s="38" t="s">
        <v>284</v>
      </c>
    </row>
    <row r="7" spans="2:5" ht="15" customHeight="1" x14ac:dyDescent="0.25">
      <c r="B7" s="59" t="s">
        <v>285</v>
      </c>
      <c r="C7" s="29" t="s">
        <v>286</v>
      </c>
      <c r="D7" s="12" t="s">
        <v>287</v>
      </c>
      <c r="E7" s="80" t="s">
        <v>288</v>
      </c>
    </row>
    <row r="8" spans="2:5" ht="15" customHeight="1" x14ac:dyDescent="0.25">
      <c r="B8" s="60" t="s">
        <v>289</v>
      </c>
      <c r="C8" s="1" t="s">
        <v>290</v>
      </c>
      <c r="D8" s="1" t="s">
        <v>291</v>
      </c>
      <c r="E8" s="38" t="s">
        <v>292</v>
      </c>
    </row>
    <row r="9" spans="2:5" ht="15" customHeight="1" x14ac:dyDescent="0.25">
      <c r="B9" s="59" t="s">
        <v>293</v>
      </c>
      <c r="C9" s="29" t="s">
        <v>294</v>
      </c>
      <c r="D9" s="12" t="s">
        <v>295</v>
      </c>
      <c r="E9" s="80" t="s">
        <v>296</v>
      </c>
    </row>
    <row r="10" spans="2:5" ht="15" customHeight="1" thickBot="1" x14ac:dyDescent="0.3">
      <c r="B10" s="81"/>
      <c r="C10" s="82" t="s">
        <v>297</v>
      </c>
      <c r="D10" s="83"/>
      <c r="E10" s="84"/>
    </row>
    <row r="11" spans="2:5" ht="15.75" thickBot="1" x14ac:dyDescent="0.3"/>
    <row r="12" spans="2:5" ht="15" customHeight="1" x14ac:dyDescent="0.25">
      <c r="B12" s="142" t="s">
        <v>298</v>
      </c>
      <c r="C12" s="143"/>
      <c r="D12" s="144"/>
    </row>
    <row r="13" spans="2:5" ht="15" customHeight="1" x14ac:dyDescent="0.25">
      <c r="B13" s="57" t="s">
        <v>299</v>
      </c>
      <c r="C13" s="11" t="s">
        <v>300</v>
      </c>
      <c r="D13" s="58" t="s">
        <v>301</v>
      </c>
    </row>
    <row r="14" spans="2:5" ht="15" customHeight="1" x14ac:dyDescent="0.25">
      <c r="B14" s="51" t="s">
        <v>302</v>
      </c>
      <c r="C14" s="2" t="s">
        <v>303</v>
      </c>
      <c r="D14" s="64" t="s">
        <v>304</v>
      </c>
    </row>
    <row r="15" spans="2:5" ht="15" customHeight="1" x14ac:dyDescent="0.25">
      <c r="B15" s="53" t="s">
        <v>305</v>
      </c>
      <c r="C15" s="30" t="s">
        <v>306</v>
      </c>
      <c r="D15" s="65" t="s">
        <v>307</v>
      </c>
    </row>
    <row r="16" spans="2:5" ht="15" customHeight="1" x14ac:dyDescent="0.25">
      <c r="B16" s="51" t="s">
        <v>308</v>
      </c>
      <c r="C16" s="2" t="s">
        <v>309</v>
      </c>
      <c r="D16" s="64" t="s">
        <v>310</v>
      </c>
    </row>
    <row r="17" spans="2:4" ht="15" customHeight="1" x14ac:dyDescent="0.25">
      <c r="B17" s="53" t="s">
        <v>311</v>
      </c>
      <c r="C17" s="30" t="s">
        <v>312</v>
      </c>
      <c r="D17" s="65" t="s">
        <v>313</v>
      </c>
    </row>
    <row r="18" spans="2:4" ht="15" customHeight="1" thickBot="1" x14ac:dyDescent="0.3">
      <c r="B18" s="85" t="s">
        <v>314</v>
      </c>
      <c r="C18" s="86" t="s">
        <v>315</v>
      </c>
      <c r="D18" s="87" t="s">
        <v>316</v>
      </c>
    </row>
  </sheetData>
  <mergeCells count="3">
    <mergeCell ref="B12:D12"/>
    <mergeCell ref="B1:E1"/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 tint="0.59999389629810485"/>
  </sheetPr>
  <dimension ref="B1:L21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8" customWidth="1"/>
    <col min="3" max="3" width="34" customWidth="1"/>
    <col min="4" max="4" width="22" customWidth="1"/>
    <col min="5" max="12" width="10" customWidth="1"/>
    <col min="13" max="13" width="3" customWidth="1"/>
  </cols>
  <sheetData>
    <row r="1" spans="2:12" ht="15.75" customHeight="1" x14ac:dyDescent="0.25">
      <c r="B1" s="147" t="s">
        <v>317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2" spans="2:12" ht="15" customHeight="1" x14ac:dyDescent="0.25">
      <c r="B2" s="148" t="s">
        <v>227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</row>
    <row r="3" spans="2:12" ht="21.75" customHeight="1" x14ac:dyDescent="0.25">
      <c r="B3" s="3" t="s">
        <v>99</v>
      </c>
      <c r="C3" s="3" t="s">
        <v>318</v>
      </c>
      <c r="D3" s="3" t="s">
        <v>319</v>
      </c>
      <c r="E3" s="3" t="s">
        <v>320</v>
      </c>
      <c r="F3" s="3" t="s">
        <v>321</v>
      </c>
      <c r="G3" s="3" t="s">
        <v>322</v>
      </c>
      <c r="H3" s="3" t="s">
        <v>323</v>
      </c>
      <c r="I3" s="3" t="s">
        <v>324</v>
      </c>
      <c r="J3" s="3" t="s">
        <v>325</v>
      </c>
      <c r="K3" s="3" t="s">
        <v>326</v>
      </c>
      <c r="L3" s="3" t="s">
        <v>327</v>
      </c>
    </row>
    <row r="4" spans="2:12" ht="17.25" customHeight="1" x14ac:dyDescent="0.25">
      <c r="B4" s="31" t="s">
        <v>108</v>
      </c>
      <c r="C4" s="32" t="s">
        <v>328</v>
      </c>
      <c r="D4" s="6" t="s">
        <v>329</v>
      </c>
      <c r="E4" s="33" t="s">
        <v>330</v>
      </c>
      <c r="F4" s="33" t="s">
        <v>330</v>
      </c>
      <c r="G4" s="34"/>
      <c r="H4" s="34"/>
      <c r="I4" s="34"/>
      <c r="J4" s="34"/>
      <c r="K4" s="34"/>
      <c r="L4" s="34"/>
    </row>
    <row r="5" spans="2:12" ht="17.25" customHeight="1" x14ac:dyDescent="0.25">
      <c r="B5" s="35" t="s">
        <v>110</v>
      </c>
      <c r="C5" s="36" t="s">
        <v>331</v>
      </c>
      <c r="D5" s="8" t="s">
        <v>332</v>
      </c>
      <c r="E5" s="33" t="s">
        <v>330</v>
      </c>
      <c r="F5" s="33" t="s">
        <v>330</v>
      </c>
      <c r="G5" s="37"/>
      <c r="H5" s="37"/>
      <c r="I5" s="37"/>
      <c r="J5" s="37"/>
      <c r="K5" s="37"/>
      <c r="L5" s="37"/>
    </row>
    <row r="6" spans="2:12" ht="17.25" customHeight="1" x14ac:dyDescent="0.25">
      <c r="B6" s="31" t="s">
        <v>112</v>
      </c>
      <c r="C6" s="32" t="s">
        <v>333</v>
      </c>
      <c r="D6" s="6" t="s">
        <v>334</v>
      </c>
      <c r="E6" s="34"/>
      <c r="F6" s="33" t="s">
        <v>330</v>
      </c>
      <c r="G6" s="34"/>
      <c r="H6" s="34"/>
      <c r="I6" s="34"/>
      <c r="J6" s="34"/>
      <c r="K6" s="34"/>
      <c r="L6" s="34"/>
    </row>
    <row r="7" spans="2:12" ht="17.25" customHeight="1" x14ac:dyDescent="0.25">
      <c r="B7" s="35" t="s">
        <v>114</v>
      </c>
      <c r="C7" s="36" t="s">
        <v>335</v>
      </c>
      <c r="D7" s="8" t="s">
        <v>336</v>
      </c>
      <c r="E7" s="37"/>
      <c r="F7" s="33" t="s">
        <v>330</v>
      </c>
      <c r="G7" s="37"/>
      <c r="H7" s="37"/>
      <c r="I7" s="37"/>
      <c r="J7" s="37"/>
      <c r="K7" s="37"/>
      <c r="L7" s="37"/>
    </row>
    <row r="8" spans="2:12" ht="17.25" customHeight="1" x14ac:dyDescent="0.25">
      <c r="B8" s="31" t="s">
        <v>116</v>
      </c>
      <c r="C8" s="32" t="s">
        <v>337</v>
      </c>
      <c r="D8" s="6" t="s">
        <v>338</v>
      </c>
      <c r="E8" s="34"/>
      <c r="F8" s="34"/>
      <c r="G8" s="33" t="s">
        <v>330</v>
      </c>
      <c r="H8" s="33" t="s">
        <v>330</v>
      </c>
      <c r="I8" s="33" t="s">
        <v>330</v>
      </c>
      <c r="J8" s="34"/>
      <c r="K8" s="34"/>
      <c r="L8" s="34"/>
    </row>
    <row r="9" spans="2:12" ht="17.25" customHeight="1" x14ac:dyDescent="0.25">
      <c r="B9" s="35" t="s">
        <v>118</v>
      </c>
      <c r="C9" s="36" t="s">
        <v>339</v>
      </c>
      <c r="D9" s="8" t="s">
        <v>338</v>
      </c>
      <c r="E9" s="37"/>
      <c r="F9" s="37"/>
      <c r="G9" s="33" t="s">
        <v>330</v>
      </c>
      <c r="H9" s="33" t="s">
        <v>330</v>
      </c>
      <c r="I9" s="33" t="s">
        <v>330</v>
      </c>
      <c r="J9" s="37"/>
      <c r="K9" s="37"/>
      <c r="L9" s="37"/>
    </row>
    <row r="10" spans="2:12" ht="17.25" customHeight="1" x14ac:dyDescent="0.25">
      <c r="B10" s="31" t="s">
        <v>120</v>
      </c>
      <c r="C10" s="32" t="s">
        <v>340</v>
      </c>
      <c r="D10" s="6" t="s">
        <v>338</v>
      </c>
      <c r="E10" s="34"/>
      <c r="F10" s="34"/>
      <c r="G10" s="34"/>
      <c r="H10" s="33" t="s">
        <v>330</v>
      </c>
      <c r="I10" s="33" t="s">
        <v>330</v>
      </c>
      <c r="J10" s="34"/>
      <c r="K10" s="34"/>
      <c r="L10" s="34"/>
    </row>
    <row r="11" spans="2:12" ht="17.25" customHeight="1" x14ac:dyDescent="0.25">
      <c r="B11" s="35" t="s">
        <v>122</v>
      </c>
      <c r="C11" s="36" t="s">
        <v>341</v>
      </c>
      <c r="D11" s="8" t="s">
        <v>342</v>
      </c>
      <c r="E11" s="37"/>
      <c r="F11" s="37"/>
      <c r="G11" s="37"/>
      <c r="H11" s="33" t="s">
        <v>330</v>
      </c>
      <c r="I11" s="33" t="s">
        <v>330</v>
      </c>
      <c r="J11" s="37"/>
      <c r="K11" s="37"/>
      <c r="L11" s="37"/>
    </row>
    <row r="12" spans="2:12" ht="17.25" customHeight="1" x14ac:dyDescent="0.25">
      <c r="B12" s="31" t="s">
        <v>124</v>
      </c>
      <c r="C12" s="32" t="s">
        <v>343</v>
      </c>
      <c r="D12" s="6" t="s">
        <v>344</v>
      </c>
      <c r="E12" s="34"/>
      <c r="F12" s="34"/>
      <c r="G12" s="33" t="s">
        <v>330</v>
      </c>
      <c r="H12" s="33" t="s">
        <v>330</v>
      </c>
      <c r="I12" s="33" t="s">
        <v>330</v>
      </c>
      <c r="J12" s="34"/>
      <c r="K12" s="34"/>
      <c r="L12" s="34"/>
    </row>
    <row r="13" spans="2:12" ht="17.25" customHeight="1" x14ac:dyDescent="0.25">
      <c r="B13" s="35" t="s">
        <v>126</v>
      </c>
      <c r="C13" s="36" t="s">
        <v>345</v>
      </c>
      <c r="D13" s="8" t="s">
        <v>344</v>
      </c>
      <c r="E13" s="37"/>
      <c r="F13" s="37"/>
      <c r="G13" s="37"/>
      <c r="H13" s="37"/>
      <c r="I13" s="33" t="s">
        <v>330</v>
      </c>
      <c r="J13" s="33" t="s">
        <v>330</v>
      </c>
      <c r="K13" s="37"/>
      <c r="L13" s="37"/>
    </row>
    <row r="14" spans="2:12" ht="17.25" customHeight="1" x14ac:dyDescent="0.25">
      <c r="B14" s="31" t="s">
        <v>128</v>
      </c>
      <c r="C14" s="32" t="s">
        <v>129</v>
      </c>
      <c r="D14" s="6" t="s">
        <v>346</v>
      </c>
      <c r="E14" s="34"/>
      <c r="F14" s="34"/>
      <c r="G14" s="34"/>
      <c r="H14" s="34"/>
      <c r="I14" s="34"/>
      <c r="J14" s="33" t="s">
        <v>330</v>
      </c>
      <c r="K14" s="33" t="s">
        <v>330</v>
      </c>
      <c r="L14" s="34"/>
    </row>
    <row r="15" spans="2:12" ht="17.25" customHeight="1" x14ac:dyDescent="0.25">
      <c r="B15" s="35" t="s">
        <v>130</v>
      </c>
      <c r="C15" s="36" t="s">
        <v>347</v>
      </c>
      <c r="D15" s="8" t="s">
        <v>346</v>
      </c>
      <c r="E15" s="37"/>
      <c r="F15" s="37"/>
      <c r="G15" s="37"/>
      <c r="H15" s="37"/>
      <c r="I15" s="37"/>
      <c r="J15" s="37"/>
      <c r="K15" s="33" t="s">
        <v>330</v>
      </c>
      <c r="L15" s="37"/>
    </row>
    <row r="16" spans="2:12" ht="17.25" customHeight="1" x14ac:dyDescent="0.25">
      <c r="B16" s="31" t="s">
        <v>132</v>
      </c>
      <c r="C16" s="32" t="s">
        <v>348</v>
      </c>
      <c r="D16" s="6" t="s">
        <v>332</v>
      </c>
      <c r="E16" s="34"/>
      <c r="F16" s="34"/>
      <c r="G16" s="34"/>
      <c r="H16" s="34"/>
      <c r="I16" s="33" t="s">
        <v>330</v>
      </c>
      <c r="J16" s="33" t="s">
        <v>330</v>
      </c>
      <c r="K16" s="34"/>
      <c r="L16" s="34"/>
    </row>
    <row r="17" spans="2:12" ht="17.25" customHeight="1" x14ac:dyDescent="0.25">
      <c r="B17" s="35" t="s">
        <v>134</v>
      </c>
      <c r="C17" s="36" t="s">
        <v>349</v>
      </c>
      <c r="D17" s="8" t="s">
        <v>350</v>
      </c>
      <c r="E17" s="37"/>
      <c r="F17" s="37"/>
      <c r="G17" s="37"/>
      <c r="H17" s="37"/>
      <c r="I17" s="37"/>
      <c r="J17" s="37"/>
      <c r="K17" s="33" t="s">
        <v>330</v>
      </c>
      <c r="L17" s="33" t="s">
        <v>330</v>
      </c>
    </row>
    <row r="18" spans="2:12" ht="17.25" customHeight="1" x14ac:dyDescent="0.25">
      <c r="B18" s="31" t="s">
        <v>136</v>
      </c>
      <c r="C18" s="32" t="s">
        <v>351</v>
      </c>
      <c r="D18" s="6" t="s">
        <v>352</v>
      </c>
      <c r="E18" s="34"/>
      <c r="F18" s="34"/>
      <c r="G18" s="34"/>
      <c r="H18" s="34"/>
      <c r="I18" s="34"/>
      <c r="J18" s="34"/>
      <c r="K18" s="34"/>
      <c r="L18" s="33" t="s">
        <v>330</v>
      </c>
    </row>
    <row r="19" spans="2:12" ht="17.25" customHeight="1" x14ac:dyDescent="0.25">
      <c r="B19" s="35" t="s">
        <v>138</v>
      </c>
      <c r="C19" s="36" t="s">
        <v>353</v>
      </c>
      <c r="D19" s="8" t="s">
        <v>329</v>
      </c>
      <c r="E19" s="37"/>
      <c r="F19" s="37"/>
      <c r="G19" s="37"/>
      <c r="H19" s="37"/>
      <c r="I19" s="37"/>
      <c r="J19" s="37"/>
      <c r="K19" s="33" t="s">
        <v>330</v>
      </c>
      <c r="L19" s="33" t="s">
        <v>330</v>
      </c>
    </row>
    <row r="20" spans="2:12" ht="17.25" customHeight="1" x14ac:dyDescent="0.25">
      <c r="B20" s="31" t="s">
        <v>140</v>
      </c>
      <c r="C20" s="32" t="s">
        <v>354</v>
      </c>
      <c r="D20" s="6" t="s">
        <v>352</v>
      </c>
      <c r="E20" s="33" t="s">
        <v>330</v>
      </c>
      <c r="F20" s="33" t="s">
        <v>330</v>
      </c>
      <c r="G20" s="33" t="s">
        <v>330</v>
      </c>
      <c r="H20" s="33" t="s">
        <v>330</v>
      </c>
      <c r="I20" s="33" t="s">
        <v>330</v>
      </c>
      <c r="J20" s="33" t="s">
        <v>330</v>
      </c>
      <c r="K20" s="33" t="s">
        <v>330</v>
      </c>
      <c r="L20" s="33" t="s">
        <v>330</v>
      </c>
    </row>
    <row r="21" spans="2:12" ht="17.25" customHeight="1" x14ac:dyDescent="0.25">
      <c r="B21" s="35" t="s">
        <v>142</v>
      </c>
      <c r="C21" s="36" t="s">
        <v>355</v>
      </c>
      <c r="D21" s="8" t="s">
        <v>352</v>
      </c>
      <c r="E21" s="37"/>
      <c r="F21" s="37"/>
      <c r="G21" s="37"/>
      <c r="H21" s="37"/>
      <c r="I21" s="37"/>
      <c r="J21" s="37"/>
      <c r="K21" s="37"/>
      <c r="L21" s="33" t="s">
        <v>330</v>
      </c>
    </row>
  </sheetData>
  <mergeCells count="2">
    <mergeCell ref="B1:L1"/>
    <mergeCell ref="B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0.59999389629810485"/>
  </sheetPr>
  <dimension ref="B1:D34"/>
  <sheetViews>
    <sheetView showGridLines="0" zoomScaleNormal="100" workbookViewId="0">
      <selection activeCell="P36" sqref="P36"/>
    </sheetView>
  </sheetViews>
  <sheetFormatPr baseColWidth="10" defaultColWidth="8.7109375" defaultRowHeight="15" x14ac:dyDescent="0.25"/>
  <cols>
    <col min="1" max="1" width="3" customWidth="1"/>
    <col min="2" max="2" width="38.42578125" bestFit="1" customWidth="1"/>
    <col min="3" max="4" width="22" customWidth="1"/>
    <col min="5" max="5" width="3" customWidth="1"/>
  </cols>
  <sheetData>
    <row r="1" spans="2:4" ht="18" customHeight="1" thickBot="1" x14ac:dyDescent="0.3">
      <c r="B1" s="203" t="s">
        <v>356</v>
      </c>
      <c r="C1" s="204"/>
      <c r="D1" s="205"/>
    </row>
    <row r="2" spans="2:4" ht="15" customHeight="1" thickBot="1" x14ac:dyDescent="0.3">
      <c r="B2" s="157" t="s">
        <v>357</v>
      </c>
      <c r="C2" s="158"/>
      <c r="D2" s="159"/>
    </row>
    <row r="3" spans="2:4" ht="15.75" thickBot="1" x14ac:dyDescent="0.3"/>
    <row r="4" spans="2:4" ht="15" customHeight="1" x14ac:dyDescent="0.25">
      <c r="B4" s="142" t="s">
        <v>358</v>
      </c>
      <c r="C4" s="143"/>
      <c r="D4" s="144"/>
    </row>
    <row r="5" spans="2:4" ht="24" customHeight="1" x14ac:dyDescent="0.25">
      <c r="B5" s="88" t="s">
        <v>359</v>
      </c>
      <c r="C5" s="206">
        <f>RESUMEN_COSTOS!C13</f>
        <v>491029220</v>
      </c>
      <c r="D5" s="207"/>
    </row>
    <row r="6" spans="2:4" ht="24" customHeight="1" x14ac:dyDescent="0.25">
      <c r="B6" s="89" t="s">
        <v>360</v>
      </c>
      <c r="C6" s="206">
        <f>RESUMEN_COSTOS!C15</f>
        <v>638337986</v>
      </c>
      <c r="D6" s="207"/>
    </row>
    <row r="7" spans="2:4" ht="24" customHeight="1" x14ac:dyDescent="0.25">
      <c r="B7" s="88" t="s">
        <v>361</v>
      </c>
      <c r="C7" s="206">
        <f>RESUMEN_COSTOS!C14</f>
        <v>147308766</v>
      </c>
      <c r="D7" s="207"/>
    </row>
    <row r="8" spans="2:4" ht="24" customHeight="1" x14ac:dyDescent="0.25">
      <c r="B8" s="89" t="s">
        <v>362</v>
      </c>
      <c r="C8" s="208" t="str">
        <f>SUPUESTOS!C5&amp;" meses"</f>
        <v>8 meses</v>
      </c>
      <c r="D8" s="209"/>
    </row>
    <row r="9" spans="2:4" ht="24" customHeight="1" x14ac:dyDescent="0.25">
      <c r="B9" s="88" t="s">
        <v>363</v>
      </c>
      <c r="C9" s="206">
        <f>SUM(REC_HUMANO!C5:C14)</f>
        <v>11</v>
      </c>
      <c r="D9" s="207"/>
    </row>
    <row r="10" spans="2:4" ht="24" customHeight="1" x14ac:dyDescent="0.25">
      <c r="B10" s="89" t="s">
        <v>364</v>
      </c>
      <c r="C10" s="206">
        <f>RESUMEN_COSTOS!C12</f>
        <v>44639020</v>
      </c>
      <c r="D10" s="207"/>
    </row>
    <row r="11" spans="2:4" ht="24" customHeight="1" x14ac:dyDescent="0.25">
      <c r="B11" s="88" t="s">
        <v>365</v>
      </c>
      <c r="C11" s="210">
        <f>RESUMEN_COSTOS!C14/RESUMEN_COSTOS!C15</f>
        <v>0.23076923076923078</v>
      </c>
      <c r="D11" s="211"/>
    </row>
    <row r="12" spans="2:4" ht="24" customHeight="1" thickBot="1" x14ac:dyDescent="0.3">
      <c r="B12" s="90" t="s">
        <v>366</v>
      </c>
      <c r="C12" s="212">
        <f>RESUMEN_COSTOS!C14/RESUMEN_COSTOS!C13</f>
        <v>0.3</v>
      </c>
      <c r="D12" s="213"/>
    </row>
    <row r="13" spans="2:4" ht="15" customHeight="1" thickBot="1" x14ac:dyDescent="0.3"/>
    <row r="14" spans="2:4" ht="15" customHeight="1" x14ac:dyDescent="0.25">
      <c r="B14" s="142" t="s">
        <v>367</v>
      </c>
      <c r="C14" s="143"/>
      <c r="D14" s="144"/>
    </row>
    <row r="15" spans="2:4" ht="27.75" customHeight="1" x14ac:dyDescent="0.25">
      <c r="B15" s="214" t="s">
        <v>368</v>
      </c>
      <c r="C15" s="215"/>
      <c r="D15" s="216"/>
    </row>
    <row r="16" spans="2:4" ht="27.75" customHeight="1" x14ac:dyDescent="0.25">
      <c r="B16" s="217" t="s">
        <v>369</v>
      </c>
      <c r="C16" s="218"/>
      <c r="D16" s="219"/>
    </row>
    <row r="17" spans="2:4" ht="27.75" customHeight="1" x14ac:dyDescent="0.25">
      <c r="B17" s="214" t="s">
        <v>370</v>
      </c>
      <c r="C17" s="215"/>
      <c r="D17" s="216"/>
    </row>
    <row r="18" spans="2:4" ht="27.75" customHeight="1" x14ac:dyDescent="0.25">
      <c r="B18" s="217" t="s">
        <v>371</v>
      </c>
      <c r="C18" s="218"/>
      <c r="D18" s="219"/>
    </row>
    <row r="19" spans="2:4" ht="27.75" customHeight="1" x14ac:dyDescent="0.25">
      <c r="B19" s="214" t="s">
        <v>372</v>
      </c>
      <c r="C19" s="215"/>
      <c r="D19" s="216"/>
    </row>
    <row r="20" spans="2:4" ht="27.75" customHeight="1" x14ac:dyDescent="0.25">
      <c r="B20" s="217" t="s">
        <v>373</v>
      </c>
      <c r="C20" s="218"/>
      <c r="D20" s="219"/>
    </row>
    <row r="21" spans="2:4" ht="27.75" customHeight="1" x14ac:dyDescent="0.25">
      <c r="B21" s="214" t="s">
        <v>374</v>
      </c>
      <c r="C21" s="215"/>
      <c r="D21" s="216"/>
    </row>
    <row r="22" spans="2:4" ht="27.75" customHeight="1" thickBot="1" x14ac:dyDescent="0.3">
      <c r="B22" s="220" t="s">
        <v>375</v>
      </c>
      <c r="C22" s="221"/>
      <c r="D22" s="222"/>
    </row>
    <row r="23" spans="2:4" ht="15" customHeight="1" thickBot="1" x14ac:dyDescent="0.3"/>
    <row r="24" spans="2:4" ht="15" customHeight="1" x14ac:dyDescent="0.25">
      <c r="B24" s="238" t="s">
        <v>376</v>
      </c>
      <c r="C24" s="239"/>
      <c r="D24" s="240"/>
    </row>
    <row r="25" spans="2:4" ht="21.75" customHeight="1" x14ac:dyDescent="0.25">
      <c r="B25" s="223" t="s">
        <v>377</v>
      </c>
      <c r="C25" s="224"/>
      <c r="D25" s="225"/>
    </row>
    <row r="26" spans="2:4" ht="21.75" customHeight="1" x14ac:dyDescent="0.25">
      <c r="B26" s="226" t="s">
        <v>378</v>
      </c>
      <c r="C26" s="227"/>
      <c r="D26" s="228"/>
    </row>
    <row r="27" spans="2:4" ht="21.75" customHeight="1" x14ac:dyDescent="0.25">
      <c r="B27" s="223" t="s">
        <v>379</v>
      </c>
      <c r="C27" s="224"/>
      <c r="D27" s="225"/>
    </row>
    <row r="28" spans="2:4" ht="21.75" customHeight="1" x14ac:dyDescent="0.25">
      <c r="B28" s="226" t="s">
        <v>380</v>
      </c>
      <c r="C28" s="227"/>
      <c r="D28" s="228"/>
    </row>
    <row r="29" spans="2:4" ht="21.75" customHeight="1" x14ac:dyDescent="0.25">
      <c r="B29" s="223" t="s">
        <v>381</v>
      </c>
      <c r="C29" s="224"/>
      <c r="D29" s="225"/>
    </row>
    <row r="30" spans="2:4" ht="21.75" customHeight="1" x14ac:dyDescent="0.25">
      <c r="B30" s="226" t="s">
        <v>382</v>
      </c>
      <c r="C30" s="227"/>
      <c r="D30" s="228"/>
    </row>
    <row r="31" spans="2:4" ht="21.75" customHeight="1" thickBot="1" x14ac:dyDescent="0.3">
      <c r="B31" s="229" t="s">
        <v>383</v>
      </c>
      <c r="C31" s="230"/>
      <c r="D31" s="231"/>
    </row>
    <row r="32" spans="2:4" ht="19.5" customHeight="1" thickBot="1" x14ac:dyDescent="0.3"/>
    <row r="33" spans="2:4" ht="21.75" customHeight="1" x14ac:dyDescent="0.25">
      <c r="B33" s="232" t="s">
        <v>386</v>
      </c>
      <c r="C33" s="233"/>
      <c r="D33" s="234"/>
    </row>
    <row r="34" spans="2:4" ht="19.5" customHeight="1" thickBot="1" x14ac:dyDescent="0.3">
      <c r="B34" s="235"/>
      <c r="C34" s="236"/>
      <c r="D34" s="237"/>
    </row>
  </sheetData>
  <mergeCells count="29">
    <mergeCell ref="B29:D29"/>
    <mergeCell ref="B30:D30"/>
    <mergeCell ref="B31:D31"/>
    <mergeCell ref="B33:D34"/>
    <mergeCell ref="B24:D24"/>
    <mergeCell ref="B25:D25"/>
    <mergeCell ref="B26:D26"/>
    <mergeCell ref="B27:D27"/>
    <mergeCell ref="B28:D28"/>
    <mergeCell ref="B18:D18"/>
    <mergeCell ref="B19:D19"/>
    <mergeCell ref="B20:D20"/>
    <mergeCell ref="B21:D21"/>
    <mergeCell ref="B22:D22"/>
    <mergeCell ref="C12:D12"/>
    <mergeCell ref="B14:D14"/>
    <mergeCell ref="B15:D15"/>
    <mergeCell ref="B16:D16"/>
    <mergeCell ref="B17:D17"/>
    <mergeCell ref="C7:D7"/>
    <mergeCell ref="C8:D8"/>
    <mergeCell ref="C9:D9"/>
    <mergeCell ref="C10:D10"/>
    <mergeCell ref="C11:D11"/>
    <mergeCell ref="B1:D1"/>
    <mergeCell ref="B2:D2"/>
    <mergeCell ref="B4:D4"/>
    <mergeCell ref="C5:D5"/>
    <mergeCell ref="C6:D6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PORTADA</vt:lpstr>
      <vt:lpstr>SUPUESTOS</vt:lpstr>
      <vt:lpstr>REC_HUMANO</vt:lpstr>
      <vt:lpstr>ACTIVIDADES</vt:lpstr>
      <vt:lpstr>REC_TECNICO</vt:lpstr>
      <vt:lpstr>IMPUESTOS</vt:lpstr>
      <vt:lpstr>COSTOS_OPERATIVOS</vt:lpstr>
      <vt:lpstr>IMPREVISTOS</vt:lpstr>
      <vt:lpstr>RESUMEN_COSTOS</vt:lpstr>
      <vt:lpstr>RENTABILIDAD</vt:lpstr>
      <vt:lpstr>CLASIFICACION</vt:lpstr>
      <vt:lpstr>GANTT</vt:lpstr>
      <vt:lpstr>RESUMEN_EJECUTIVO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THINKPAD P1 GEN 3</cp:lastModifiedBy>
  <cp:revision>0</cp:revision>
  <dcterms:created xsi:type="dcterms:W3CDTF">2026-05-21T16:35:20Z</dcterms:created>
  <dcterms:modified xsi:type="dcterms:W3CDTF">2026-05-21T21:36:46Z</dcterms:modified>
  <dc:language>en-US</dc:language>
</cp:coreProperties>
</file>